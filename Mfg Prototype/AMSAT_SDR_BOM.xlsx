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m Radio\AMSAT Lunar Mission Heimdallr\GOLF-T\Alternative SDR\Alt-SDR\KiCad PCBWay\Assembly\"/>
    </mc:Choice>
  </mc:AlternateContent>
  <xr:revisionPtr revIDLastSave="0" documentId="13_ncr:1_{03739069-0D97-4E6A-AF92-8190ED9BA159}" xr6:coauthVersionLast="47" xr6:coauthVersionMax="47" xr10:uidLastSave="{00000000-0000-0000-0000-000000000000}"/>
  <bookViews>
    <workbookView xWindow="-108" yWindow="-108" windowWidth="30936" windowHeight="16776" xr2:uid="{6016C083-F34D-4812-8191-F4F21AB77B28}"/>
  </bookViews>
  <sheets>
    <sheet name="New BOM-Parts" sheetId="8" r:id="rId1"/>
  </sheets>
  <calcPr calcId="181029"/>
</workbook>
</file>

<file path=xl/calcChain.xml><?xml version="1.0" encoding="utf-8"?>
<calcChain xmlns="http://schemas.openxmlformats.org/spreadsheetml/2006/main">
  <c r="P148" i="8" l="1"/>
  <c r="Q146" i="8"/>
  <c r="Q142" i="8"/>
  <c r="Q148" i="8" s="1"/>
  <c r="C113" i="8"/>
  <c r="D134" i="8"/>
  <c r="A116" i="8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Q150" i="8" l="1"/>
  <c r="Q151" i="8" s="1"/>
  <c r="P150" i="8"/>
  <c r="P151" i="8" s="1"/>
</calcChain>
</file>

<file path=xl/sharedStrings.xml><?xml version="1.0" encoding="utf-8"?>
<sst xmlns="http://schemas.openxmlformats.org/spreadsheetml/2006/main" count="887" uniqueCount="623">
  <si>
    <t>Datasheet</t>
  </si>
  <si>
    <t>Qty</t>
  </si>
  <si>
    <t>DNP</t>
  </si>
  <si>
    <t>C1,C2,C3,C5,C7,C98,C126,C141,C174,C246,C250,C253,C270,C271,C273</t>
  </si>
  <si>
    <t>0.1uf</t>
  </si>
  <si>
    <t>C4,C10,C17,C19,C69,C70,C76,C77,C100,C101,C104,C106,C110,C111,C196,C269,C359,C364,C365,C366,C367</t>
  </si>
  <si>
    <t>0.01uf</t>
  </si>
  <si>
    <t>C6</t>
  </si>
  <si>
    <t>C8,C86,C242,C272</t>
  </si>
  <si>
    <t>C9</t>
  </si>
  <si>
    <t>C11,C12</t>
  </si>
  <si>
    <t>C14,C15</t>
  </si>
  <si>
    <t>18pf</t>
  </si>
  <si>
    <t>4.7uf</t>
  </si>
  <si>
    <t>1uf</t>
  </si>
  <si>
    <t>C21,C157,C160,C209</t>
  </si>
  <si>
    <t>100pf</t>
  </si>
  <si>
    <t>10uf</t>
  </si>
  <si>
    <t>C65</t>
  </si>
  <si>
    <t>C66,C68,C78,C79,C80,C81,C195</t>
  </si>
  <si>
    <t>22uf</t>
  </si>
  <si>
    <t>C82,C161,C162,C169,C199,C201,C217,C221,C257</t>
  </si>
  <si>
    <t>100uf</t>
  </si>
  <si>
    <t>0.001uf</t>
  </si>
  <si>
    <t>C128,C129,C130,C131,C144,C145,C146,C147</t>
  </si>
  <si>
    <t>12pf</t>
  </si>
  <si>
    <t>C134,C138,C143,C150</t>
  </si>
  <si>
    <t>47pf</t>
  </si>
  <si>
    <t>C135</t>
  </si>
  <si>
    <t>0 pf DNP</t>
  </si>
  <si>
    <t>C142</t>
  </si>
  <si>
    <t>0.001uf 50V</t>
  </si>
  <si>
    <t>C165,C166</t>
  </si>
  <si>
    <t>0.47uf</t>
  </si>
  <si>
    <t>C167,C170,C233,C259</t>
  </si>
  <si>
    <t>47uf</t>
  </si>
  <si>
    <t>C176,C177,C178,C179,C180,C181,C182,C183,C184,C197,C198,C200,C204,C205,C207,C211,C216,C219,C224,C225,C226,C227,C229,C235,C236,C237,C240,C243,C251,C254,C255,C256,C263,C264,C278,C279,C280,C281,C284,C285,C304,C305,C332,C341,C342,C343,C344,C345,C346,C347,C348,C349,C350,C351,C352,C354,C355,C356,C357</t>
  </si>
  <si>
    <t>C186,C187,C188,C189,C202,C203,C212,C220,C230,C231,C232,C260,C261,C262,C286,C287,C288,C289,C290,C291,C292,C293,C294,C295,C296,C297,C298,C299,C300,C301,C306,C307,C308,C309,C310,C311,C312,C313,C314,C315,C316,C317,C318,C319,C320,C321,C323,C324,C325,C326,C327,C328,C329,C330,C331,C333,C334,C335,C336,C337,C338,C339,C340,C360,C361,C363</t>
  </si>
  <si>
    <t>0.047uf</t>
  </si>
  <si>
    <t>C213</t>
  </si>
  <si>
    <t>330uf</t>
  </si>
  <si>
    <t>C215,C268</t>
  </si>
  <si>
    <t>C228</t>
  </si>
  <si>
    <t>0.22uf</t>
  </si>
  <si>
    <t>C238</t>
  </si>
  <si>
    <t>0.01uf 10V</t>
  </si>
  <si>
    <t>C239,C258</t>
  </si>
  <si>
    <t>C244,C247,C276</t>
  </si>
  <si>
    <t>C245</t>
  </si>
  <si>
    <t>C248,C249</t>
  </si>
  <si>
    <t>CR1</t>
  </si>
  <si>
    <t>ESD8472MUT5G</t>
  </si>
  <si>
    <t>FL1</t>
  </si>
  <si>
    <t>WA8514-AE</t>
  </si>
  <si>
    <t>https://www.coilcraft.com/getmedia/4491c14d-61bb-4c33-922c-9709ccb7b4e5/wa8514.pdf</t>
  </si>
  <si>
    <t>IC1</t>
  </si>
  <si>
    <t>LT7200SAV#TRPBF</t>
  </si>
  <si>
    <t>https://www.analog.com/media/en/technical-documentation/data-sheets/lt7200s.pdf</t>
  </si>
  <si>
    <t>IC2</t>
  </si>
  <si>
    <t>ADG772BCPZ-1REEL</t>
  </si>
  <si>
    <t>https://www.analog.com/media/en/technical-documentation/data-sheets/ADG772.pdf</t>
  </si>
  <si>
    <t>IC3</t>
  </si>
  <si>
    <t>IC4</t>
  </si>
  <si>
    <t>TPS22810DRVT</t>
  </si>
  <si>
    <t>http://www.ti.com/lit/gpn/tps22810-q1</t>
  </si>
  <si>
    <t>IC5,IC6,IC7</t>
  </si>
  <si>
    <t>https://media-www.micron.com/-/media/client/global/documents/products/data-sheet/dram/ddr3/8gb_ddr3l.pdf?rev=92a422556160454e8e7cf0c70e706941</t>
  </si>
  <si>
    <t>IC8</t>
  </si>
  <si>
    <t>24AA256-I_SN</t>
  </si>
  <si>
    <t>http://ww1.microchip.com/downloads/en/DeviceDoc/20001203U.pdf</t>
  </si>
  <si>
    <t>IC9</t>
  </si>
  <si>
    <t>PHA-202+</t>
  </si>
  <si>
    <t>https://www.minicircuits.com/WebStore/dashboard.html?model=PHA-202%2B</t>
  </si>
  <si>
    <t>J2</t>
  </si>
  <si>
    <t>J2a1</t>
  </si>
  <si>
    <t>J2b1</t>
  </si>
  <si>
    <t>J3</t>
  </si>
  <si>
    <t>J6</t>
  </si>
  <si>
    <t>J11</t>
  </si>
  <si>
    <t>J12</t>
  </si>
  <si>
    <t>10103594-0001LF</t>
  </si>
  <si>
    <t>https://cdn.amphenol-icc.com/media/wysiwyg/files/drawing/10103594.pdf</t>
  </si>
  <si>
    <t>J13</t>
  </si>
  <si>
    <t>503398-1892</t>
  </si>
  <si>
    <t>J15</t>
  </si>
  <si>
    <t>Jx1</t>
  </si>
  <si>
    <t>Path C</t>
  </si>
  <si>
    <t>L1,L2,L3,L4,L12,L14,L16,L18</t>
  </si>
  <si>
    <t>330nh MLJ1005WR33JT000</t>
  </si>
  <si>
    <t>L5,L6,L7,L8,L9</t>
  </si>
  <si>
    <t>0.6uh XEL5030-601ME</t>
  </si>
  <si>
    <t>L10,L11,L26</t>
  </si>
  <si>
    <t>BLM18AG601SN1D  0603</t>
  </si>
  <si>
    <t>L13,L15,L17,L19,L20,L21,L27,L28</t>
  </si>
  <si>
    <t>33nh LQW15AN33NJ00D</t>
  </si>
  <si>
    <t>L22,L29</t>
  </si>
  <si>
    <t>Ferrite BLM18HE152SN1</t>
  </si>
  <si>
    <t>L23,L30</t>
  </si>
  <si>
    <t>330 nh 0603</t>
  </si>
  <si>
    <t>L24,L25</t>
  </si>
  <si>
    <t>BLM18PG-121SND</t>
  </si>
  <si>
    <t>R1,R29,R31,R42,R51,R61,R64,R65</t>
  </si>
  <si>
    <t>R2,R30,R34,R45,R62,R63,R66,R70</t>
  </si>
  <si>
    <t>R3,R5,R156</t>
  </si>
  <si>
    <t>R4</t>
  </si>
  <si>
    <t>DNP 20.5k</t>
  </si>
  <si>
    <t>20.5k</t>
  </si>
  <si>
    <t>R11,R12,R13,R44,R80,R99,R100,R101,R102,R103,R105,R134,R141,R185</t>
  </si>
  <si>
    <t>R14,R15,R16</t>
  </si>
  <si>
    <t>R17,R21</t>
  </si>
  <si>
    <t>0 ohms</t>
  </si>
  <si>
    <t>R18,R22</t>
  </si>
  <si>
    <t>R19,R20,R35,R36,R37,R46,R160</t>
  </si>
  <si>
    <t>100k</t>
  </si>
  <si>
    <t>R23,R24,R106</t>
  </si>
  <si>
    <t>R32</t>
  </si>
  <si>
    <t>R33</t>
  </si>
  <si>
    <t>10k-DNP</t>
  </si>
  <si>
    <t>R38</t>
  </si>
  <si>
    <t>56.2k</t>
  </si>
  <si>
    <t>R39,R40,R41,R48,R50,R68,R69,R72,R73,R74,R75,R91,R92,R152,R154</t>
  </si>
  <si>
    <t>R47</t>
  </si>
  <si>
    <t>R49</t>
  </si>
  <si>
    <t>26.1k</t>
  </si>
  <si>
    <t>R53</t>
  </si>
  <si>
    <t>14.3k</t>
  </si>
  <si>
    <t>R55,R56</t>
  </si>
  <si>
    <t>R58</t>
  </si>
  <si>
    <t>R59,R60,R95,R96,R110,R111,R112,R113,R114,R115,R116,R117,R118,R119,R120,R121,R122,R123,R124,R125,R126,R127,R128,R129,R131,R132,R133,R139,R140,R163</t>
  </si>
  <si>
    <t>R71</t>
  </si>
  <si>
    <t>DNP 0 ohms</t>
  </si>
  <si>
    <t>R90</t>
  </si>
  <si>
    <t>R93,R97,R142</t>
  </si>
  <si>
    <t>R94,R98</t>
  </si>
  <si>
    <t>DNP - 4.7K</t>
  </si>
  <si>
    <t>R135,R136</t>
  </si>
  <si>
    <t>R137</t>
  </si>
  <si>
    <t>1.1k</t>
  </si>
  <si>
    <t>R148</t>
  </si>
  <si>
    <t>1.05meg</t>
  </si>
  <si>
    <t>R149,R150</t>
  </si>
  <si>
    <t>R153,R155</t>
  </si>
  <si>
    <t>R157</t>
  </si>
  <si>
    <t>12k</t>
  </si>
  <si>
    <t>R186</t>
  </si>
  <si>
    <t>R187</t>
  </si>
  <si>
    <t>R188</t>
  </si>
  <si>
    <t>RV1,RV2,RV3,RV4</t>
  </si>
  <si>
    <t>CG0402MLU-3.3G</t>
  </si>
  <si>
    <t>https://www.bourns.com/docs/Product-Datasheets/MLU.pdf</t>
  </si>
  <si>
    <t>T2,T3,T4,T5,T6,T7,T8,T9,T10,T11</t>
  </si>
  <si>
    <t>TCM1-63AX+</t>
  </si>
  <si>
    <t>SKY13588-460LF</t>
  </si>
  <si>
    <t>U2,U39</t>
  </si>
  <si>
    <t>http://datasheets.maximintegrated.com/en/ds/MAX3051.pdf</t>
  </si>
  <si>
    <t>U3,U24</t>
  </si>
  <si>
    <t>EP2K1+</t>
  </si>
  <si>
    <t>U4,U9</t>
  </si>
  <si>
    <t>RLP-470+</t>
  </si>
  <si>
    <t>U5,U8</t>
  </si>
  <si>
    <t>BFCN-5750+</t>
  </si>
  <si>
    <t>U6,U7</t>
  </si>
  <si>
    <t>BFCN-2360+</t>
  </si>
  <si>
    <t>U13,U32</t>
  </si>
  <si>
    <t>LFCN-5850+</t>
  </si>
  <si>
    <t>https://www.minicircuits.com/pdfs/LFCN-5850+.pdf</t>
  </si>
  <si>
    <t>U15</t>
  </si>
  <si>
    <t>https://www.ti.com/lit/gpn/TXS02612</t>
  </si>
  <si>
    <t>U16</t>
  </si>
  <si>
    <t>74LVC1G07</t>
  </si>
  <si>
    <t>https://www.ti.com/lit/ds/symlink/sn74lvc1g07.pdf</t>
  </si>
  <si>
    <t>U17</t>
  </si>
  <si>
    <t>CD4043BPWR</t>
  </si>
  <si>
    <t>https://www.ti.com/lit/gpn/cd4043b</t>
  </si>
  <si>
    <t>U18,U20</t>
  </si>
  <si>
    <t>ADP1754ACPZ-1.3-R7</t>
  </si>
  <si>
    <t>https://www.analog.com/media/en/technical-documentation/data-sheets/ADP1754_1755.pdf</t>
  </si>
  <si>
    <t>U19,U23</t>
  </si>
  <si>
    <t>LFCN-1000+</t>
  </si>
  <si>
    <t>U21</t>
  </si>
  <si>
    <t>LM3880</t>
  </si>
  <si>
    <t>http://www.ti.com/lit/ds/symlink/lm3880.pdf</t>
  </si>
  <si>
    <t>U22</t>
  </si>
  <si>
    <t>ADP7104ACPZ-5.0-R7</t>
  </si>
  <si>
    <t>ADP7104ACPZ-2.5-R7</t>
  </si>
  <si>
    <t>U25</t>
  </si>
  <si>
    <t>AD9361BBCZ</t>
  </si>
  <si>
    <t>U28,U30</t>
  </si>
  <si>
    <t>HFCN-2275+</t>
  </si>
  <si>
    <t>U37,U45</t>
  </si>
  <si>
    <t>PHA-83W+</t>
  </si>
  <si>
    <t>U38</t>
  </si>
  <si>
    <t>XC7Z020-1CLG484C</t>
  </si>
  <si>
    <t>U40</t>
  </si>
  <si>
    <t>BD3539FVM-TR</t>
  </si>
  <si>
    <t>U41</t>
  </si>
  <si>
    <t>TPD2EUSB30</t>
  </si>
  <si>
    <t>http://www.ti.com/lit/ds/symlink/tpd2eusb30a.pdf</t>
  </si>
  <si>
    <t>U42</t>
  </si>
  <si>
    <t>FT230XQ</t>
  </si>
  <si>
    <t>https://www.ftdichip.com/Support/Documents/DataSheets/ICs/DS_FT230X.pdf</t>
  </si>
  <si>
    <t>U43</t>
  </si>
  <si>
    <t>LP5907MFX-3.3</t>
  </si>
  <si>
    <t>http://www.ti.com/lit/ds/symlink/lp5907.pdf</t>
  </si>
  <si>
    <t>Package_TO_SOT_SMD:SOT-23-5</t>
  </si>
  <si>
    <t>U44</t>
  </si>
  <si>
    <t>W25Q128JVEIQ</t>
  </si>
  <si>
    <t>http://www.winbond.com/resource-files/w25q128jv_dtr%20revc%2003272018%20plus.pdf</t>
  </si>
  <si>
    <t>Y1</t>
  </si>
  <si>
    <t>https://www.mouser.cn/datasheet/2/137/TG2520SMN_en-2584158.pdf</t>
  </si>
  <si>
    <t>Y2</t>
  </si>
  <si>
    <t>KC2016Z33.3330C1KX00</t>
  </si>
  <si>
    <t>https://ele.kyocera.com/assets/products/crystal-device/clock_z_x_e.pdf</t>
  </si>
  <si>
    <t>Y3</t>
  </si>
  <si>
    <t>ETXO-H33CL-100.000</t>
  </si>
  <si>
    <t>http://www.ecsxtal.com/store/pdf/ETXO-H.pdf</t>
  </si>
  <si>
    <t>Item #</t>
  </si>
  <si>
    <t>Manufacturer</t>
  </si>
  <si>
    <t>Description / Value</t>
  </si>
  <si>
    <t>Mounting Type</t>
  </si>
  <si>
    <t>Samsung Electro-Mechanics</t>
  </si>
  <si>
    <t>CL21A106KAENRBE</t>
  </si>
  <si>
    <t>C307517</t>
  </si>
  <si>
    <t>SMD</t>
  </si>
  <si>
    <t>TDK</t>
  </si>
  <si>
    <t>C3216X5R1A107M160AC</t>
  </si>
  <si>
    <t>C2167823</t>
  </si>
  <si>
    <t>YAGEO</t>
  </si>
  <si>
    <t>AC0201KRX7R9BB102</t>
  </si>
  <si>
    <t>C3843341</t>
  </si>
  <si>
    <t>Venkel</t>
  </si>
  <si>
    <t>C0201Y5V6R3-104ZNP</t>
  </si>
  <si>
    <t>C3846467</t>
  </si>
  <si>
    <t>Taiyo Yuden</t>
  </si>
  <si>
    <t>LMK063BBJ474MPLF</t>
  </si>
  <si>
    <t>C2169172</t>
  </si>
  <si>
    <t>Murata Electronics</t>
  </si>
  <si>
    <t>GRM155B31A105KE15D</t>
  </si>
  <si>
    <t>C162154</t>
  </si>
  <si>
    <t>GRM0335C1H180JA01D</t>
  </si>
  <si>
    <t>C85892</t>
  </si>
  <si>
    <t>TMK063B7103KP-F</t>
  </si>
  <si>
    <t>C2168155</t>
  </si>
  <si>
    <t>IHHEC(HOLY STONE ENTERPRISE CO., LTD)</t>
  </si>
  <si>
    <t>C0805X105K025TX</t>
  </si>
  <si>
    <t>C2940738</t>
  </si>
  <si>
    <t>SANYEAR</t>
  </si>
  <si>
    <t>C0805X5R226K100NT</t>
  </si>
  <si>
    <t>C968780</t>
  </si>
  <si>
    <t>KEMET</t>
  </si>
  <si>
    <t>C0402C475M9PAC7411</t>
  </si>
  <si>
    <t>C2231296</t>
  </si>
  <si>
    <t>CC0201FRNPO8BN120</t>
  </si>
  <si>
    <t>C541254</t>
  </si>
  <si>
    <t>C0805X7R102J500NT</t>
  </si>
  <si>
    <t>C2835539</t>
  </si>
  <si>
    <t>Walsin Tech Corp</t>
  </si>
  <si>
    <t>0201B101K250CT</t>
  </si>
  <si>
    <t>C908474</t>
  </si>
  <si>
    <t>C0402X5R474K250NT</t>
  </si>
  <si>
    <t>C2835544</t>
  </si>
  <si>
    <t>GRT31CR61A476ME13L</t>
  </si>
  <si>
    <t>C2167841</t>
  </si>
  <si>
    <t>PSA(Prosperity Dielectrics)</t>
  </si>
  <si>
    <t>FN03B473K6R3PLG</t>
  </si>
  <si>
    <t>C565524</t>
  </si>
  <si>
    <t>Kyocera</t>
  </si>
  <si>
    <t>F950G337KAAAQ2</t>
  </si>
  <si>
    <t>C1964682</t>
  </si>
  <si>
    <t>JDK105BJ106MV-FD</t>
  </si>
  <si>
    <t>C841046</t>
  </si>
  <si>
    <t>GRT155R6YA224KE01D</t>
  </si>
  <si>
    <t>C180396</t>
  </si>
  <si>
    <t>EMK063B7103KP-F</t>
  </si>
  <si>
    <t>C2174059</t>
  </si>
  <si>
    <t>Vishay Intertech</t>
  </si>
  <si>
    <t>VJ0201G223KXYCW1BC</t>
  </si>
  <si>
    <t>C2197009</t>
  </si>
  <si>
    <t>TDK Corporation</t>
  </si>
  <si>
    <t>C1206X6S226M160NT</t>
  </si>
  <si>
    <t>C2844312</t>
  </si>
  <si>
    <t>MT03N470J500CT</t>
  </si>
  <si>
    <t>C2918569</t>
  </si>
  <si>
    <t>onsemi</t>
  </si>
  <si>
    <t>X3DFN2_ONS</t>
  </si>
  <si>
    <t>C2830297</t>
  </si>
  <si>
    <t>Analog Devices Inc.</t>
  </si>
  <si>
    <t>505-LT7200SAV#TRPBFTR-ND</t>
  </si>
  <si>
    <t>LT7200SAVTRPBF</t>
  </si>
  <si>
    <t>QFN</t>
  </si>
  <si>
    <t>QFN50P300X300X80-13N-D</t>
  </si>
  <si>
    <t>C143887</t>
  </si>
  <si>
    <t>SOIC127P600X175-8N</t>
  </si>
  <si>
    <t>Texas Instruments</t>
  </si>
  <si>
    <t>SOP</t>
  </si>
  <si>
    <t>Micron Technology Inc.</t>
  </si>
  <si>
    <t>MT41K256M16TW-107:P</t>
  </si>
  <si>
    <t>MT41K256M16HA-107E</t>
  </si>
  <si>
    <t>557-1792-ND</t>
  </si>
  <si>
    <t>BGA96C80P9X16_900X1400X120</t>
  </si>
  <si>
    <t>BGA</t>
  </si>
  <si>
    <t>Microchip Technology</t>
  </si>
  <si>
    <t>24AA256-I/SN</t>
  </si>
  <si>
    <t>C152169</t>
  </si>
  <si>
    <t>Molex</t>
  </si>
  <si>
    <t>MMCX Coax Connector</t>
  </si>
  <si>
    <t>MMCX_Molex_73415-1471_Vertical</t>
  </si>
  <si>
    <t>C588477</t>
  </si>
  <si>
    <t>Amphenol ICC (FCI)</t>
  </si>
  <si>
    <t>USB_Micro_B_Female_10103594-0001LF</t>
  </si>
  <si>
    <t>C428495</t>
  </si>
  <si>
    <t>MOLEX_503398-1892</t>
  </si>
  <si>
    <t>C428492</t>
  </si>
  <si>
    <t>Sullins Connector Solutions</t>
  </si>
  <si>
    <t>PPTC061LFBN-RC</t>
  </si>
  <si>
    <t>PinSocket_1x06_P2.54mm_Vertical</t>
  </si>
  <si>
    <t>CoilCraft</t>
  </si>
  <si>
    <t>XGL5030-601MEC</t>
  </si>
  <si>
    <t>IND_XEL5030_3.2_COC</t>
  </si>
  <si>
    <t>BLM18AG601SN1D</t>
  </si>
  <si>
    <t>IND_BLM18_0603_MUR</t>
  </si>
  <si>
    <t>C19330</t>
  </si>
  <si>
    <t>MLJ1005WR33JT000</t>
  </si>
  <si>
    <t>IND_MLJ1005WR33JT000</t>
  </si>
  <si>
    <t>C2043066</t>
  </si>
  <si>
    <t>LQW15AN33NJ00D</t>
  </si>
  <si>
    <t>C192564</t>
  </si>
  <si>
    <t>LQW15CNR20J00B</t>
  </si>
  <si>
    <t>BLM18HE152SN1D</t>
  </si>
  <si>
    <t>C82155</t>
  </si>
  <si>
    <t>LQM18PH1R0MFRL</t>
  </si>
  <si>
    <t>C1858042</t>
  </si>
  <si>
    <t>UNI-ROYAL(Uniroyal Elec)</t>
  </si>
  <si>
    <t>HQ05W3J0000T5E</t>
  </si>
  <si>
    <t>C2792442</t>
  </si>
  <si>
    <t>PF01WMJ0000TEE</t>
  </si>
  <si>
    <t>C2784589</t>
  </si>
  <si>
    <t>0201WMJ1003TEE</t>
  </si>
  <si>
    <t>C2691500</t>
  </si>
  <si>
    <t>PANASONIC</t>
  </si>
  <si>
    <t>ERJ-U01F5622C</t>
  </si>
  <si>
    <t>C4114717</t>
  </si>
  <si>
    <t>ERJ-1GEJ103C</t>
  </si>
  <si>
    <t>C2097746</t>
  </si>
  <si>
    <t>0201WMF2612TEE</t>
  </si>
  <si>
    <t>C423632</t>
  </si>
  <si>
    <t>CR0201-20W-1432FT</t>
  </si>
  <si>
    <t>C4121995</t>
  </si>
  <si>
    <t>RC0201FR-0716R9L</t>
  </si>
  <si>
    <t>C474547</t>
  </si>
  <si>
    <t>AC0201FR-071R05L</t>
  </si>
  <si>
    <t>C4272938</t>
  </si>
  <si>
    <t>SEI(Stackpole Elec)</t>
  </si>
  <si>
    <t>RNCF0201DTC49R9</t>
  </si>
  <si>
    <t>C2488211</t>
  </si>
  <si>
    <t>PF01WMF2400TEE</t>
  </si>
  <si>
    <t>C2784587</t>
  </si>
  <si>
    <t>0201WMF787JTEE</t>
  </si>
  <si>
    <t>TNPW02011K10BEED</t>
  </si>
  <si>
    <t>C3946172</t>
  </si>
  <si>
    <t>CRCW02011M05FNED</t>
  </si>
  <si>
    <t>C3916432</t>
  </si>
  <si>
    <t>RT0805DRE0727R4L</t>
  </si>
  <si>
    <t>C868682</t>
  </si>
  <si>
    <t>RMCF0201FT330R</t>
  </si>
  <si>
    <t>C2479078</t>
  </si>
  <si>
    <t>TE Connectivity</t>
  </si>
  <si>
    <t>CPF0805B499RE1</t>
  </si>
  <si>
    <t>C1695674</t>
  </si>
  <si>
    <t>FH (Guangdong Fenghua Advanced Tech)</t>
  </si>
  <si>
    <t>RS-05K2052FT</t>
  </si>
  <si>
    <t>C322346</t>
  </si>
  <si>
    <t>0201WMD1202TEE</t>
  </si>
  <si>
    <t>C2766436</t>
  </si>
  <si>
    <t>RCC0805100RFKEA</t>
  </si>
  <si>
    <t>C1859587</t>
  </si>
  <si>
    <t>Viking Tech</t>
  </si>
  <si>
    <t>AR05DTBW1500</t>
  </si>
  <si>
    <t>C2984396</t>
  </si>
  <si>
    <t>RC0201JR-0722RL</t>
  </si>
  <si>
    <t>BOURNS</t>
  </si>
  <si>
    <t>C2655393</t>
  </si>
  <si>
    <t>VARC1005X41N</t>
  </si>
  <si>
    <t>Mini-Circuits</t>
  </si>
  <si>
    <t>C494678</t>
  </si>
  <si>
    <t>C2683450</t>
  </si>
  <si>
    <t>LM3880MF-1AC/NOPB</t>
  </si>
  <si>
    <t>C471861</t>
  </si>
  <si>
    <t>Analog Devices</t>
  </si>
  <si>
    <t>CP_8_5_ADI</t>
  </si>
  <si>
    <t>C207497</t>
  </si>
  <si>
    <t>C515884</t>
  </si>
  <si>
    <t>BC_144_7_ADI</t>
  </si>
  <si>
    <t>XILINX</t>
  </si>
  <si>
    <t>C1519066</t>
  </si>
  <si>
    <t>Xilinx_CLG484_CLG485</t>
  </si>
  <si>
    <t>MAX3051EKA-T</t>
  </si>
  <si>
    <t>ROHM Semicon</t>
  </si>
  <si>
    <t>MSOP8_ROM</t>
  </si>
  <si>
    <t>C213437</t>
  </si>
  <si>
    <t>TPD2EUSB30DRTR</t>
  </si>
  <si>
    <t>C97502</t>
  </si>
  <si>
    <t>FTDI</t>
  </si>
  <si>
    <t>FT230XQ-R</t>
  </si>
  <si>
    <t>QFN-16-1EP_4x4mm_P0.65mm_EP2.1x2.1mm</t>
  </si>
  <si>
    <t>C128629</t>
  </si>
  <si>
    <t>LP5907MFX-3.3/NOPB</t>
  </si>
  <si>
    <t>C80670</t>
  </si>
  <si>
    <t>Winbond</t>
  </si>
  <si>
    <t>WSON_128JVEIQ_WIN</t>
  </si>
  <si>
    <t>C401662</t>
  </si>
  <si>
    <t>Epson</t>
  </si>
  <si>
    <t>TG2520SMN 40.0000M-ECGNNM3</t>
  </si>
  <si>
    <t>TG2520SMN400000MECGNNM0</t>
  </si>
  <si>
    <t>KYOCERA AVX</t>
  </si>
  <si>
    <t>478-KC2016Z33.3330C1KX00TR-ND</t>
  </si>
  <si>
    <t>KC2016Z333330C1KX00</t>
  </si>
  <si>
    <t>ECS Inc.</t>
  </si>
  <si>
    <t>XC2134-ND</t>
  </si>
  <si>
    <t>ETXOH33CL100000</t>
  </si>
  <si>
    <t>Designator</t>
  </si>
  <si>
    <t>Type</t>
  </si>
  <si>
    <t>ESD8472MUT5GOSTR-ND </t>
  </si>
  <si>
    <t>505-ADG772BCPZ-1REELTR-ND</t>
  </si>
  <si>
    <t>24AA256-I/SN-ND</t>
  </si>
  <si>
    <t>WM5557-ND</t>
  </si>
  <si>
    <t>609-4050-2-ND</t>
  </si>
  <si>
    <t>WM11190TR-ND</t>
  </si>
  <si>
    <t>C5272871</t>
  </si>
  <si>
    <t>S7004-ND</t>
  </si>
  <si>
    <t>C3911471</t>
  </si>
  <si>
    <t>2457-XGL5030-601MEC-ND</t>
  </si>
  <si>
    <t>490-1014-2-ND </t>
  </si>
  <si>
    <t>445-180955-2-ND</t>
  </si>
  <si>
    <t>490-5216-2-ND</t>
  </si>
  <si>
    <t>3157-TCM1-63AX+TR-ND</t>
  </si>
  <si>
    <t>C4989532</t>
  </si>
  <si>
    <t>LM3880MF-1AC/NOPBTR-ND</t>
  </si>
  <si>
    <t>505-ADP7104ACPZ-5.0-R7TR-ND</t>
  </si>
  <si>
    <t>C112005</t>
  </si>
  <si>
    <t>MAX3051EKA+TTR-ND</t>
  </si>
  <si>
    <t>BD3539FVM-TR-ND</t>
  </si>
  <si>
    <t>296-25509-2-ND</t>
  </si>
  <si>
    <t>768-1130-2-ND</t>
  </si>
  <si>
    <t>296-38557-2-ND</t>
  </si>
  <si>
    <t>W25Q128JVEIQ-ND</t>
  </si>
  <si>
    <t>C1512882</t>
  </si>
  <si>
    <t>114-TG2520SMN40.0000M-ECGNNM3TR-ND</t>
  </si>
  <si>
    <t>J1,J5, J10,J14</t>
  </si>
  <si>
    <t>DF11-16DP-2DSA_2x08</t>
  </si>
  <si>
    <t>1.27mm:PinSocket_2x02_P1.27</t>
  </si>
  <si>
    <t>Test Point</t>
  </si>
  <si>
    <t>TestPoint:1.5x1.5mm_Drill0.7mm</t>
  </si>
  <si>
    <t>TP5,TP6, TP7</t>
  </si>
  <si>
    <t>U1,U10,U11,U12</t>
  </si>
  <si>
    <t>TO_SOT_SMD:SOT-23-6</t>
  </si>
  <si>
    <t>TO_SOT_SMD:Texas_DRT-3</t>
  </si>
  <si>
    <t>TestPoint</t>
  </si>
  <si>
    <t>DF11-6DP-2DSA_2x03_P2.00mm</t>
  </si>
  <si>
    <t>2x04_P2.00mm</t>
  </si>
  <si>
    <t>1.27mm:PinSocket_1x06_P1.27mm</t>
  </si>
  <si>
    <t>C22,C71,C72,C74,C75,C88,C89,C93,C94,C99,C127,C133,C139,C148,C368</t>
  </si>
  <si>
    <t>C23,C155</t>
  </si>
  <si>
    <t>R6,R7,R8,R9,R10,R25,R57,R87</t>
  </si>
  <si>
    <t>R26,R27,R28,R43,R54,R76,R77,R78,R79,R81,R82,R83,R84,R85,R86,R88,R89,R104,R130,R147,R164,R165,R166,R167,R168,R169,R170,R171,R172,R173,R174,R175,R176,R177,R178,R179,R180,R181,R182</t>
  </si>
  <si>
    <t>C20,C67,C90,C95,C96,C97,C102,C103,C105,C109,C118,C125,C156,C159,C358</t>
  </si>
  <si>
    <t>C190,C208,C266,C362</t>
  </si>
  <si>
    <t>Coilcraft</t>
  </si>
  <si>
    <t>WA8514AE</t>
  </si>
  <si>
    <t>TI</t>
  </si>
  <si>
    <t>2Amp Load Switch</t>
  </si>
  <si>
    <t>Amplifier, PHA-202+</t>
  </si>
  <si>
    <t>SON127P600X490X100-9N-D</t>
  </si>
  <si>
    <t>CAN, MAX3051</t>
  </si>
  <si>
    <t>Power Divider, EP2K1+</t>
  </si>
  <si>
    <t>Filter, RLP-470+</t>
  </si>
  <si>
    <t>Filter,BFCN-5750+</t>
  </si>
  <si>
    <t>Filter,BFCN-2360+</t>
  </si>
  <si>
    <t>FV1206</t>
  </si>
  <si>
    <t>Filter,LFCN-5850+</t>
  </si>
  <si>
    <t>QFN:WQFN-24-1EP</t>
  </si>
  <si>
    <t>SOP65P640X120-16N</t>
  </si>
  <si>
    <t>Filter,LFCN-1000+</t>
  </si>
  <si>
    <t>Filter, HFCN-2275+</t>
  </si>
  <si>
    <t>Amplifier, PHA-83W+</t>
  </si>
  <si>
    <t>SOT-89-3</t>
  </si>
  <si>
    <t>SOT</t>
  </si>
  <si>
    <t>40 MHz Crystal</t>
  </si>
  <si>
    <t>33.3330 MHz Crystal</t>
  </si>
  <si>
    <t>100 MHz Crystal</t>
  </si>
  <si>
    <t>X</t>
  </si>
  <si>
    <t>SP3T Switch, SKY13588-460LF</t>
  </si>
  <si>
    <t>SKYWORKS</t>
  </si>
  <si>
    <t>CL10B104KA8NNNC</t>
  </si>
  <si>
    <t>C1590</t>
  </si>
  <si>
    <t>100nF 25V X7R ±10% MLCC</t>
  </si>
  <si>
    <t>0402B103K500NT</t>
  </si>
  <si>
    <t>C1524</t>
  </si>
  <si>
    <t>10nF 50V X7R ±10% MLCC</t>
  </si>
  <si>
    <t>0805F474M500NT</t>
  </si>
  <si>
    <t>C1778</t>
  </si>
  <si>
    <t>470nF 50V Y5V MLCC</t>
  </si>
  <si>
    <t>0402CG180J500NT</t>
  </si>
  <si>
    <t>18pF 50V C0G ±5% MLCC</t>
  </si>
  <si>
    <t>C1549</t>
  </si>
  <si>
    <t>CC1206KRX7R0BB472</t>
  </si>
  <si>
    <t>100V 4.7nF X7R ±10%  MLCC</t>
  </si>
  <si>
    <t>C577234</t>
  </si>
  <si>
    <t>0402WGF4700TCE</t>
  </si>
  <si>
    <t>C25117</t>
  </si>
  <si>
    <t>470Ω 50V ±1%</t>
  </si>
  <si>
    <t>UNI-ROYAL</t>
  </si>
  <si>
    <t>0402WGF1001TCE</t>
  </si>
  <si>
    <t>C11702</t>
  </si>
  <si>
    <t>1kΩ 50V ±1% ±100ppm/℃</t>
  </si>
  <si>
    <t>RALEC</t>
  </si>
  <si>
    <t>RTT012052FTH</t>
  </si>
  <si>
    <t>C166301</t>
  </si>
  <si>
    <t>20.5kΩ 25V ±1% ±200ppm/℃</t>
  </si>
  <si>
    <t>RC0201FR-074K7L</t>
  </si>
  <si>
    <t>C138135</t>
  </si>
  <si>
    <t>4.7kΩ 50mW ±1% Resistor</t>
  </si>
  <si>
    <t>RC0201FR-073KL</t>
  </si>
  <si>
    <t>C142016</t>
  </si>
  <si>
    <t>3k ±1% Resistor</t>
  </si>
  <si>
    <t>0402WGF0000TCE</t>
  </si>
  <si>
    <t>C17168</t>
  </si>
  <si>
    <t>RTT011652FTH</t>
  </si>
  <si>
    <t>C166335</t>
  </si>
  <si>
    <t>16.5kΩ  ±1% 25V Resistor</t>
  </si>
  <si>
    <t>0603WAF2612T5E</t>
  </si>
  <si>
    <t>C23356</t>
  </si>
  <si>
    <t>26.1kΩ 75V ±1% Resistor</t>
  </si>
  <si>
    <t>1206W4F2201T5E</t>
  </si>
  <si>
    <t>C17948</t>
  </si>
  <si>
    <t>2.2kΩ 0.25W ±1% Resistor</t>
  </si>
  <si>
    <t>C140276</t>
  </si>
  <si>
    <t>TXS02612RTWR</t>
  </si>
  <si>
    <t>SDIO PORT EXPANDER</t>
  </si>
  <si>
    <t>SOT-353</t>
  </si>
  <si>
    <t>Wuxi I-core Elec</t>
  </si>
  <si>
    <t>Open Drain SOT-353 Buffer</t>
  </si>
  <si>
    <t>C5138996</t>
  </si>
  <si>
    <t>C2652970</t>
  </si>
  <si>
    <t>CD 4043 tri state latch</t>
  </si>
  <si>
    <t>C3747719</t>
  </si>
  <si>
    <t>LFCSP-16(4x4)</t>
  </si>
  <si>
    <t>LDO 1.3V regulator</t>
  </si>
  <si>
    <t>C879868</t>
  </si>
  <si>
    <t>FV1206 SMD-4P,3.2x1.6mm</t>
  </si>
  <si>
    <t>C20231740</t>
  </si>
  <si>
    <t>FV1206, SMD-4P,3.2x1.6mm</t>
  </si>
  <si>
    <t>C4989831</t>
  </si>
  <si>
    <t>C4989833</t>
  </si>
  <si>
    <t>FV1206-4, SMD3216-4P</t>
  </si>
  <si>
    <t>C3155764</t>
  </si>
  <si>
    <t>GP731, SMD-8P,8.9x8.9mm</t>
  </si>
  <si>
    <t>C2683436</t>
  </si>
  <si>
    <t>DG1847_MNC-L,QFN-24-EP(4x4)</t>
  </si>
  <si>
    <t>C5845121</t>
  </si>
  <si>
    <t>C22386157</t>
  </si>
  <si>
    <t>C21266789</t>
  </si>
  <si>
    <t>C2636526</t>
  </si>
  <si>
    <t>C2151906</t>
  </si>
  <si>
    <t>QFN12</t>
  </si>
  <si>
    <t>DB1627_MNC, SMD-6P</t>
  </si>
  <si>
    <t>C14709</t>
  </si>
  <si>
    <t>Micro SD Holder</t>
  </si>
  <si>
    <t>C253882</t>
  </si>
  <si>
    <t>C2653758</t>
  </si>
  <si>
    <t>CY2-143+</t>
  </si>
  <si>
    <t>digital ctl. Analog Switch</t>
  </si>
  <si>
    <t>12 pin package</t>
  </si>
  <si>
    <t>CL10C470JB8NNNC</t>
  </si>
  <si>
    <t>47pF 50V C0G ±5% MLCC</t>
  </si>
  <si>
    <t>C1671</t>
  </si>
  <si>
    <t>5.6uh wideband 3GHz RF Choke</t>
  </si>
  <si>
    <t>296-46947-1-ND - Cut Tape (CT)</t>
  </si>
  <si>
    <t>DRV0006A , WSON 2×2mm</t>
  </si>
  <si>
    <t>WSON</t>
  </si>
  <si>
    <t>3157-EP2K1+CT-ND - Cut Tape (CT)</t>
  </si>
  <si>
    <t>3157-BFCN-2360+CT-ND - Cut Tape (CT)</t>
  </si>
  <si>
    <t xml:space="preserve">FV1206, </t>
  </si>
  <si>
    <t>3157-HFCN-2275+CT-ND - Cut Tape (CT)</t>
  </si>
  <si>
    <t>3157-PHA-83W+CT-ND - Cut Tape (CT)</t>
  </si>
  <si>
    <t>OK to Substitute with: RC0201FR-07240RL</t>
  </si>
  <si>
    <t>Resistor can be 1 meg for a substitute</t>
  </si>
  <si>
    <t>OK to Substitute with: RC0201JR-0722RL</t>
  </si>
  <si>
    <t>DG1847  4x4mm</t>
  </si>
  <si>
    <t>OK to Substitute with: 1206B472K101CT</t>
  </si>
  <si>
    <t>X2 Freq. Multiplier CY2-143+</t>
  </si>
  <si>
    <t>https://www.minicircuits.com/pdfs/CY2-143+.pdf</t>
  </si>
  <si>
    <t>SOIC127</t>
  </si>
  <si>
    <t>SON127</t>
  </si>
  <si>
    <t>Thru Hole</t>
  </si>
  <si>
    <t>JTAG Conn_01x06_Pin</t>
  </si>
  <si>
    <t>TestPoints</t>
  </si>
  <si>
    <t>10k, ±1%</t>
  </si>
  <si>
    <t>ESD Suppressor CG0402MLU-3.3G</t>
  </si>
  <si>
    <t>Note</t>
  </si>
  <si>
    <t>Mfg Part #</t>
  </si>
  <si>
    <t>Alternate Vendor Part #
(Digikey Part #)</t>
  </si>
  <si>
    <t>Package/Footprint</t>
  </si>
  <si>
    <t>Vendor Part #
(JLCPCB )</t>
  </si>
  <si>
    <t>DNP Unique Parts</t>
  </si>
  <si>
    <t>x</t>
  </si>
  <si>
    <t>non
SMD
part</t>
  </si>
  <si>
    <t>QFN LFCSP</t>
  </si>
  <si>
    <t>C154,C158</t>
  </si>
  <si>
    <t>R52,R67,R107,R108,R109,R138,R151,R183,R184,C112,C113,C114,C115,C116,C117,C119,C120,C121,C122,C123,C124</t>
  </si>
  <si>
    <t>R161</t>
  </si>
  <si>
    <t>R159,R189,R145,R146</t>
  </si>
  <si>
    <t>C16</t>
  </si>
  <si>
    <r>
      <t>C107,C108,C132,C136,C140,C149,</t>
    </r>
    <r>
      <rPr>
        <sz val="11"/>
        <rFont val="Calibri"/>
        <family val="2"/>
        <scheme val="minor"/>
      </rPr>
      <t>C267,C137</t>
    </r>
  </si>
  <si>
    <t>C18,C73,C163,C164,C168,C171,C172,C173,C175,C185,C191,C192,C193,C194,C206,C210,C214,C218,C222,C223,C234,C241,C252,C265,C274,C275,C277,C282,C283,C302,C303,C322,C353</t>
  </si>
  <si>
    <t>CL21A475KAQNNNE</t>
  </si>
  <si>
    <t>C1779</t>
  </si>
  <si>
    <t>total #</t>
  </si>
  <si>
    <t>Do Not Populate (DNP) Part Designator</t>
  </si>
  <si>
    <t>Parts</t>
  </si>
  <si>
    <t>Thru Hole Parts</t>
  </si>
  <si>
    <t>Unique Parts (92 SMD, 3 through hole, 16 other)</t>
  </si>
  <si>
    <t>Total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</si>
</sst>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sz val="10"/>
      <color rgb="FF222222"/>
      <name val="Arial"/>
      <family val="2"/>
    </font>
    <font>
      <sz val="8"/>
      <color rgb="FF222222"/>
      <name val="Microsoft YaHei"/>
      <family val="2"/>
    </font>
    <font>
      <sz val="7"/>
      <color rgb="FF444444"/>
      <name val="Noto Sans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i/>
      <sz val="11"/>
      <color theme="1"/>
      <name val="Calibri"/>
      <family val="2"/>
      <scheme val="minor"/>
    </font>
    <font>
      <sz val="7"/>
      <color rgb="FF666666"/>
      <name val="Microsoft YaHei"/>
      <family val="2"/>
    </font>
    <font>
      <b/>
      <i/>
      <sz val="11"/>
      <color theme="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Microsoft YaHei"/>
      <family val="2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222222"/>
      <name val="Calibri "/>
    </font>
    <font>
      <b/>
      <u/>
      <sz val="18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81">
    <xf numFmtId="0" fontId="0" fillId="0" borderId="0" xfId="0"/>
    <xf numFmtId="0" fontId="18" fillId="0" borderId="0" xfId="0" applyFont="1" applyAlignment="1">
      <alignment horizontal="left" vertical="center"/>
    </xf>
    <xf numFmtId="0" fontId="19" fillId="33" borderId="10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horizontal="left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25" fillId="35" borderId="0" xfId="0" applyFont="1" applyFill="1"/>
    <xf numFmtId="0" fontId="19" fillId="34" borderId="10" xfId="0" applyFont="1" applyFill="1" applyBorder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left"/>
    </xf>
    <xf numFmtId="0" fontId="16" fillId="35" borderId="0" xfId="0" applyFont="1" applyFill="1" applyAlignment="1">
      <alignment horizontal="center"/>
    </xf>
    <xf numFmtId="0" fontId="0" fillId="35" borderId="0" xfId="0" applyFill="1" applyAlignment="1">
      <alignment wrapText="1"/>
    </xf>
    <xf numFmtId="0" fontId="21" fillId="35" borderId="0" xfId="0" applyFont="1" applyFill="1"/>
    <xf numFmtId="0" fontId="19" fillId="34" borderId="10" xfId="0" applyFont="1" applyFill="1" applyBorder="1" applyAlignment="1">
      <alignment horizontal="left" vertical="center" wrapText="1"/>
    </xf>
    <xf numFmtId="0" fontId="25" fillId="35" borderId="0" xfId="0" applyFont="1" applyFill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16" fillId="36" borderId="0" xfId="0" applyFont="1" applyFill="1"/>
    <xf numFmtId="0" fontId="19" fillId="33" borderId="10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1" fillId="0" borderId="0" xfId="0" applyFont="1"/>
    <xf numFmtId="0" fontId="20" fillId="0" borderId="0" xfId="0" applyFont="1"/>
    <xf numFmtId="0" fontId="0" fillId="0" borderId="0" xfId="0" quotePrefix="1"/>
    <xf numFmtId="0" fontId="22" fillId="0" borderId="0" xfId="0" applyFont="1"/>
    <xf numFmtId="0" fontId="23" fillId="0" borderId="0" xfId="42" applyFill="1"/>
    <xf numFmtId="0" fontId="26" fillId="0" borderId="0" xfId="0" applyFont="1"/>
    <xf numFmtId="0" fontId="22" fillId="0" borderId="0" xfId="0" applyFont="1" applyAlignment="1">
      <alignment horizontal="left" vertical="center" wrapText="1"/>
    </xf>
    <xf numFmtId="0" fontId="28" fillId="0" borderId="10" xfId="0" applyFont="1" applyBorder="1" applyAlignment="1">
      <alignment horizontal="left" vertical="center"/>
    </xf>
    <xf numFmtId="0" fontId="30" fillId="0" borderId="0" xfId="0" applyFont="1" applyAlignment="1">
      <alignment wrapText="1"/>
    </xf>
    <xf numFmtId="0" fontId="30" fillId="0" borderId="0" xfId="0" applyFont="1" applyAlignment="1">
      <alignment horizontal="center"/>
    </xf>
    <xf numFmtId="0" fontId="31" fillId="0" borderId="0" xfId="0" applyFont="1"/>
    <xf numFmtId="0" fontId="30" fillId="0" borderId="0" xfId="0" applyFont="1" applyAlignment="1">
      <alignment horizontal="left"/>
    </xf>
    <xf numFmtId="0" fontId="30" fillId="0" borderId="0" xfId="0" applyFont="1"/>
    <xf numFmtId="0" fontId="32" fillId="0" borderId="0" xfId="0" applyFont="1" applyAlignment="1">
      <alignment horizontal="center"/>
    </xf>
    <xf numFmtId="0" fontId="16" fillId="0" borderId="0" xfId="0" quotePrefix="1" applyFont="1" applyAlignment="1">
      <alignment horizontal="center"/>
    </xf>
    <xf numFmtId="0" fontId="27" fillId="0" borderId="0" xfId="0" applyFont="1"/>
    <xf numFmtId="0" fontId="24" fillId="0" borderId="0" xfId="0" applyFont="1"/>
    <xf numFmtId="0" fontId="0" fillId="37" borderId="12" xfId="0" applyFill="1" applyBorder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37" borderId="11" xfId="0" applyFill="1" applyBorder="1" applyAlignment="1">
      <alignment horizontal="center"/>
    </xf>
    <xf numFmtId="0" fontId="0" fillId="37" borderId="14" xfId="0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8" borderId="11" xfId="0" applyFill="1" applyBorder="1" applyAlignment="1">
      <alignment horizontal="center"/>
    </xf>
    <xf numFmtId="0" fontId="0" fillId="39" borderId="11" xfId="0" applyFill="1" applyBorder="1" applyAlignment="1">
      <alignment horizontal="center"/>
    </xf>
    <xf numFmtId="0" fontId="0" fillId="39" borderId="16" xfId="0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0" fontId="0" fillId="40" borderId="12" xfId="0" applyFill="1" applyBorder="1" applyAlignment="1">
      <alignment horizontal="center"/>
    </xf>
    <xf numFmtId="0" fontId="0" fillId="40" borderId="11" xfId="0" applyFill="1" applyBorder="1" applyAlignment="1">
      <alignment horizontal="center"/>
    </xf>
    <xf numFmtId="0" fontId="0" fillId="41" borderId="12" xfId="0" applyFill="1" applyBorder="1" applyAlignment="1">
      <alignment horizontal="center"/>
    </xf>
    <xf numFmtId="0" fontId="34" fillId="0" borderId="0" xfId="0" applyFont="1" applyAlignment="1">
      <alignment wrapText="1"/>
    </xf>
    <xf numFmtId="0" fontId="34" fillId="0" borderId="0" xfId="0" applyFont="1" applyAlignment="1">
      <alignment horizontal="center"/>
    </xf>
    <xf numFmtId="0" fontId="35" fillId="0" borderId="0" xfId="0" applyFont="1"/>
    <xf numFmtId="0" fontId="0" fillId="0" borderId="0" xfId="0" applyAlignment="1">
      <alignment horizontal="right"/>
    </xf>
    <xf numFmtId="0" fontId="0" fillId="0" borderId="18" xfId="0" applyBorder="1" applyAlignment="1">
      <alignment wrapText="1"/>
    </xf>
    <xf numFmtId="0" fontId="33" fillId="0" borderId="0" xfId="0" applyFont="1" applyAlignment="1">
      <alignment horizontal="center"/>
    </xf>
    <xf numFmtId="0" fontId="0" fillId="0" borderId="18" xfId="0" applyBorder="1" applyAlignment="1">
      <alignment horizontal="right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29" fillId="41" borderId="0" xfId="0" applyFont="1" applyFill="1" applyAlignment="1">
      <alignment horizontal="center"/>
    </xf>
    <xf numFmtId="0" fontId="0" fillId="0" borderId="18" xfId="0" applyBorder="1"/>
    <xf numFmtId="0" fontId="25" fillId="0" borderId="0" xfId="0" applyFont="1" applyAlignment="1">
      <alignment horizontal="center"/>
    </xf>
    <xf numFmtId="0" fontId="0" fillId="0" borderId="19" xfId="0" applyBorder="1" applyAlignment="1">
      <alignment horizontal="right" wrapText="1"/>
    </xf>
    <xf numFmtId="0" fontId="0" fillId="0" borderId="20" xfId="0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wrapText="1"/>
    </xf>
    <xf numFmtId="0" fontId="16" fillId="0" borderId="23" xfId="0" applyFont="1" applyBorder="1" applyAlignment="1">
      <alignment horizontal="center"/>
    </xf>
    <xf numFmtId="0" fontId="0" fillId="0" borderId="22" xfId="0" applyBorder="1"/>
    <xf numFmtId="0" fontId="16" fillId="0" borderId="22" xfId="0" applyFont="1" applyBorder="1" applyAlignment="1">
      <alignment horizontal="center"/>
    </xf>
    <xf numFmtId="0" fontId="16" fillId="0" borderId="17" xfId="0" applyFont="1" applyBorder="1"/>
    <xf numFmtId="0" fontId="33" fillId="0" borderId="13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0" fillId="0" borderId="0" xfId="0" applyAlignment="1">
      <alignment horizontal="right" wrapText="1"/>
    </xf>
    <xf numFmtId="0" fontId="36" fillId="0" borderId="0" xfId="0" applyFont="1" applyAlignment="1">
      <alignment horizontal="lef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inicircuits.com/pdfs/CY2-143+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FB6E-B692-40A7-AF96-C3F01A1FC2C5}">
  <dimension ref="A1:Q151"/>
  <sheetViews>
    <sheetView tabSelected="1" workbookViewId="0"/>
  </sheetViews>
  <sheetFormatPr defaultRowHeight="14.4"/>
  <cols>
    <col min="1" max="1" width="7.77734375" style="6" customWidth="1"/>
    <col min="2" max="2" width="42" style="5" customWidth="1"/>
    <col min="3" max="3" width="8.88671875" style="6"/>
    <col min="4" max="4" width="21.21875" customWidth="1"/>
    <col min="5" max="5" width="30.77734375" customWidth="1"/>
    <col min="6" max="6" width="24.77734375" customWidth="1"/>
    <col min="7" max="7" width="14.21875" customWidth="1"/>
    <col min="8" max="8" width="28.77734375" customWidth="1"/>
    <col min="9" max="9" width="31.21875" customWidth="1"/>
    <col min="10" max="10" width="13.88671875" style="6" customWidth="1"/>
    <col min="11" max="11" width="5.5546875" style="6" customWidth="1"/>
    <col min="12" max="12" width="4.33203125" style="4" customWidth="1"/>
    <col min="13" max="13" width="34.88671875" customWidth="1"/>
    <col min="14" max="14" width="133.5546875" bestFit="1" customWidth="1"/>
    <col min="15" max="15" width="13.5546875" bestFit="1" customWidth="1"/>
    <col min="16" max="16" width="42.21875" bestFit="1" customWidth="1"/>
    <col min="17" max="17" width="6.33203125" bestFit="1" customWidth="1"/>
  </cols>
  <sheetData>
    <row r="1" spans="1:14" s="1" customFormat="1" ht="50.4" customHeight="1">
      <c r="A1" s="18" t="s">
        <v>216</v>
      </c>
      <c r="B1" s="16" t="s">
        <v>420</v>
      </c>
      <c r="C1" s="9" t="s">
        <v>1</v>
      </c>
      <c r="D1" s="2" t="s">
        <v>217</v>
      </c>
      <c r="E1" s="3" t="s">
        <v>600</v>
      </c>
      <c r="F1" s="2" t="s">
        <v>218</v>
      </c>
      <c r="G1" s="20" t="s">
        <v>603</v>
      </c>
      <c r="H1" s="20" t="s">
        <v>601</v>
      </c>
      <c r="I1" s="3" t="s">
        <v>602</v>
      </c>
      <c r="J1" s="18" t="s">
        <v>219</v>
      </c>
      <c r="K1" s="21" t="s">
        <v>606</v>
      </c>
      <c r="L1" s="17" t="s">
        <v>2</v>
      </c>
      <c r="M1" s="19" t="s">
        <v>599</v>
      </c>
      <c r="N1" s="8" t="s">
        <v>0</v>
      </c>
    </row>
    <row r="2" spans="1:14" ht="29.4">
      <c r="A2" s="6">
        <v>1</v>
      </c>
      <c r="B2" s="5" t="s">
        <v>3</v>
      </c>
      <c r="C2" s="6">
        <v>15</v>
      </c>
      <c r="D2" s="23" t="s">
        <v>230</v>
      </c>
      <c r="E2" s="23" t="s">
        <v>231</v>
      </c>
      <c r="F2" s="22" t="s">
        <v>4</v>
      </c>
      <c r="G2" s="23" t="s">
        <v>232</v>
      </c>
      <c r="I2" s="22">
        <v>201</v>
      </c>
      <c r="J2" s="6" t="s">
        <v>223</v>
      </c>
    </row>
    <row r="3" spans="1:14" ht="43.8">
      <c r="A3" s="6">
        <f>+A2+1</f>
        <v>2</v>
      </c>
      <c r="B3" s="5" t="s">
        <v>5</v>
      </c>
      <c r="C3" s="6">
        <v>21</v>
      </c>
      <c r="D3" s="23" t="s">
        <v>233</v>
      </c>
      <c r="E3" s="23" t="s">
        <v>241</v>
      </c>
      <c r="F3" s="22" t="s">
        <v>6</v>
      </c>
      <c r="G3" s="23" t="s">
        <v>242</v>
      </c>
      <c r="I3" s="22">
        <v>201</v>
      </c>
      <c r="J3" s="6" t="s">
        <v>223</v>
      </c>
    </row>
    <row r="4" spans="1:14" ht="15">
      <c r="A4" s="6">
        <f t="shared" ref="A4:A67" si="0">+A3+1</f>
        <v>3</v>
      </c>
      <c r="B4" s="5" t="s">
        <v>7</v>
      </c>
      <c r="C4" s="6">
        <v>1</v>
      </c>
      <c r="D4" t="s">
        <v>220</v>
      </c>
      <c r="E4" s="23" t="s">
        <v>493</v>
      </c>
      <c r="F4" s="23" t="s">
        <v>495</v>
      </c>
      <c r="G4" s="23" t="s">
        <v>494</v>
      </c>
      <c r="I4" s="22">
        <v>603</v>
      </c>
      <c r="J4" s="6" t="s">
        <v>223</v>
      </c>
    </row>
    <row r="5" spans="1:14" ht="15">
      <c r="A5" s="6">
        <f t="shared" si="0"/>
        <v>4</v>
      </c>
      <c r="B5" s="5" t="s">
        <v>8</v>
      </c>
      <c r="C5" s="6">
        <v>4</v>
      </c>
      <c r="D5" s="23" t="s">
        <v>369</v>
      </c>
      <c r="E5" s="23" t="s">
        <v>496</v>
      </c>
      <c r="F5" s="23" t="s">
        <v>498</v>
      </c>
      <c r="G5" s="23" t="s">
        <v>497</v>
      </c>
      <c r="I5" s="22">
        <v>402</v>
      </c>
      <c r="J5" s="6" t="s">
        <v>223</v>
      </c>
    </row>
    <row r="6" spans="1:14" ht="15">
      <c r="A6" s="6">
        <f t="shared" si="0"/>
        <v>5</v>
      </c>
      <c r="B6" s="5" t="s">
        <v>9</v>
      </c>
      <c r="C6" s="6">
        <v>1</v>
      </c>
      <c r="D6" s="23" t="s">
        <v>369</v>
      </c>
      <c r="E6" s="23" t="s">
        <v>499</v>
      </c>
      <c r="F6" s="23" t="s">
        <v>501</v>
      </c>
      <c r="G6" s="23" t="s">
        <v>500</v>
      </c>
      <c r="I6" s="22">
        <v>402</v>
      </c>
      <c r="J6" s="6" t="s">
        <v>223</v>
      </c>
    </row>
    <row r="7" spans="1:14" ht="15">
      <c r="A7" s="6">
        <f t="shared" si="0"/>
        <v>6</v>
      </c>
      <c r="B7" s="5" t="s">
        <v>11</v>
      </c>
      <c r="C7" s="6">
        <v>2</v>
      </c>
      <c r="D7" t="s">
        <v>369</v>
      </c>
      <c r="E7" s="23" t="s">
        <v>502</v>
      </c>
      <c r="F7" s="23" t="s">
        <v>503</v>
      </c>
      <c r="G7" s="23" t="s">
        <v>504</v>
      </c>
      <c r="I7" s="22">
        <v>603</v>
      </c>
      <c r="J7" s="6" t="s">
        <v>223</v>
      </c>
    </row>
    <row r="8" spans="1:14" ht="15">
      <c r="A8" s="6">
        <f t="shared" si="0"/>
        <v>7</v>
      </c>
      <c r="B8" s="5" t="s">
        <v>612</v>
      </c>
      <c r="C8" s="6">
        <v>1</v>
      </c>
      <c r="D8" t="s">
        <v>220</v>
      </c>
      <c r="E8" s="23" t="s">
        <v>615</v>
      </c>
      <c r="F8" s="22" t="s">
        <v>13</v>
      </c>
      <c r="G8" s="23" t="s">
        <v>616</v>
      </c>
      <c r="I8" s="22">
        <v>805</v>
      </c>
      <c r="J8" s="6" t="s">
        <v>223</v>
      </c>
    </row>
    <row r="9" spans="1:14" ht="58.2">
      <c r="A9" s="6">
        <f t="shared" si="0"/>
        <v>8</v>
      </c>
      <c r="B9" s="5" t="s">
        <v>614</v>
      </c>
      <c r="C9" s="6">
        <v>33</v>
      </c>
      <c r="D9" s="23" t="s">
        <v>249</v>
      </c>
      <c r="E9" s="23" t="s">
        <v>250</v>
      </c>
      <c r="F9" s="22" t="s">
        <v>13</v>
      </c>
      <c r="G9" s="23" t="s">
        <v>251</v>
      </c>
      <c r="I9" s="22">
        <v>402</v>
      </c>
      <c r="J9" s="6" t="s">
        <v>223</v>
      </c>
    </row>
    <row r="10" spans="1:14" ht="29.4">
      <c r="A10" s="6">
        <f t="shared" si="0"/>
        <v>9</v>
      </c>
      <c r="B10" s="5" t="s">
        <v>465</v>
      </c>
      <c r="C10" s="6">
        <v>15</v>
      </c>
      <c r="D10" s="23" t="s">
        <v>236</v>
      </c>
      <c r="E10" s="23" t="s">
        <v>237</v>
      </c>
      <c r="F10" s="22" t="s">
        <v>14</v>
      </c>
      <c r="G10" s="23" t="s">
        <v>238</v>
      </c>
      <c r="I10" s="22">
        <v>402</v>
      </c>
      <c r="J10" s="6" t="s">
        <v>223</v>
      </c>
    </row>
    <row r="11" spans="1:14" ht="15">
      <c r="A11" s="6">
        <f t="shared" si="0"/>
        <v>10</v>
      </c>
      <c r="B11" s="5" t="s">
        <v>15</v>
      </c>
      <c r="C11" s="6">
        <v>4</v>
      </c>
      <c r="D11" s="23" t="s">
        <v>256</v>
      </c>
      <c r="E11" s="23" t="s">
        <v>257</v>
      </c>
      <c r="F11" s="22" t="s">
        <v>16</v>
      </c>
      <c r="G11" s="23" t="s">
        <v>258</v>
      </c>
      <c r="I11" s="22">
        <v>201</v>
      </c>
      <c r="J11" s="6" t="s">
        <v>223</v>
      </c>
    </row>
    <row r="12" spans="1:14" ht="28.8">
      <c r="A12" s="6">
        <f t="shared" si="0"/>
        <v>11</v>
      </c>
      <c r="B12" s="5" t="s">
        <v>461</v>
      </c>
      <c r="C12" s="6">
        <v>15</v>
      </c>
      <c r="D12" t="s">
        <v>220</v>
      </c>
      <c r="E12" s="24" t="s">
        <v>221</v>
      </c>
      <c r="F12" t="s">
        <v>17</v>
      </c>
      <c r="G12" t="s">
        <v>222</v>
      </c>
      <c r="I12" s="22">
        <v>805</v>
      </c>
      <c r="J12" s="6" t="s">
        <v>223</v>
      </c>
    </row>
    <row r="13" spans="1:14">
      <c r="A13" s="6">
        <f t="shared" si="0"/>
        <v>12</v>
      </c>
      <c r="B13" s="5" t="s">
        <v>462</v>
      </c>
      <c r="C13" s="6">
        <v>2</v>
      </c>
      <c r="F13" t="s">
        <v>16</v>
      </c>
      <c r="I13" s="22">
        <v>402</v>
      </c>
    </row>
    <row r="14" spans="1:14" ht="15">
      <c r="A14" s="6">
        <f t="shared" si="0"/>
        <v>13</v>
      </c>
      <c r="B14" s="5" t="s">
        <v>18</v>
      </c>
      <c r="C14" s="6">
        <v>1</v>
      </c>
      <c r="D14" s="23" t="s">
        <v>243</v>
      </c>
      <c r="E14" s="23" t="s">
        <v>244</v>
      </c>
      <c r="F14" s="22" t="s">
        <v>14</v>
      </c>
      <c r="G14" s="23" t="s">
        <v>245</v>
      </c>
      <c r="I14" s="22">
        <v>805</v>
      </c>
      <c r="J14" s="6" t="s">
        <v>223</v>
      </c>
    </row>
    <row r="15" spans="1:14" ht="15">
      <c r="A15" s="6">
        <f t="shared" si="0"/>
        <v>14</v>
      </c>
      <c r="B15" s="5" t="s">
        <v>19</v>
      </c>
      <c r="C15" s="6">
        <v>7</v>
      </c>
      <c r="D15" s="23" t="s">
        <v>246</v>
      </c>
      <c r="E15" s="23" t="s">
        <v>247</v>
      </c>
      <c r="F15" s="22" t="s">
        <v>20</v>
      </c>
      <c r="G15" s="23" t="s">
        <v>248</v>
      </c>
      <c r="I15" s="22">
        <v>805</v>
      </c>
      <c r="J15" s="6" t="s">
        <v>223</v>
      </c>
    </row>
    <row r="16" spans="1:14" ht="15">
      <c r="A16" s="6">
        <f t="shared" si="0"/>
        <v>15</v>
      </c>
      <c r="B16" s="5" t="s">
        <v>21</v>
      </c>
      <c r="C16" s="6">
        <v>9</v>
      </c>
      <c r="D16" s="23" t="s">
        <v>224</v>
      </c>
      <c r="E16" s="23" t="s">
        <v>225</v>
      </c>
      <c r="F16" t="s">
        <v>22</v>
      </c>
      <c r="G16" s="23" t="s">
        <v>226</v>
      </c>
      <c r="I16" s="22">
        <v>1206</v>
      </c>
      <c r="J16" s="6" t="s">
        <v>223</v>
      </c>
    </row>
    <row r="17" spans="1:13" ht="15">
      <c r="A17" s="6">
        <f t="shared" si="0"/>
        <v>16</v>
      </c>
      <c r="B17" s="5" t="s">
        <v>613</v>
      </c>
      <c r="C17" s="6">
        <v>8</v>
      </c>
      <c r="D17" s="23" t="s">
        <v>227</v>
      </c>
      <c r="E17" s="23" t="s">
        <v>228</v>
      </c>
      <c r="F17" s="22" t="s">
        <v>23</v>
      </c>
      <c r="G17" s="23" t="s">
        <v>229</v>
      </c>
      <c r="I17" s="22">
        <v>201</v>
      </c>
      <c r="J17" s="6" t="s">
        <v>223</v>
      </c>
    </row>
    <row r="18" spans="1:13" ht="15">
      <c r="A18" s="6">
        <f t="shared" si="0"/>
        <v>17</v>
      </c>
      <c r="B18" s="5" t="s">
        <v>608</v>
      </c>
      <c r="C18" s="6">
        <v>2</v>
      </c>
      <c r="D18" s="23" t="s">
        <v>236</v>
      </c>
      <c r="E18" s="23" t="s">
        <v>239</v>
      </c>
      <c r="F18" s="22" t="s">
        <v>12</v>
      </c>
      <c r="G18" s="23" t="s">
        <v>240</v>
      </c>
      <c r="I18" s="22">
        <v>201</v>
      </c>
      <c r="J18" s="6" t="s">
        <v>223</v>
      </c>
    </row>
    <row r="19" spans="1:13" ht="15">
      <c r="A19" s="6">
        <f t="shared" si="0"/>
        <v>18</v>
      </c>
      <c r="B19" s="5" t="s">
        <v>24</v>
      </c>
      <c r="C19" s="6">
        <v>8</v>
      </c>
      <c r="D19" s="23" t="s">
        <v>227</v>
      </c>
      <c r="E19" s="23" t="s">
        <v>252</v>
      </c>
      <c r="F19" s="22" t="s">
        <v>25</v>
      </c>
      <c r="G19" s="23" t="s">
        <v>253</v>
      </c>
      <c r="I19" s="22">
        <v>201</v>
      </c>
      <c r="J19" s="6" t="s">
        <v>223</v>
      </c>
    </row>
    <row r="20" spans="1:13" ht="15">
      <c r="A20" s="6">
        <f t="shared" si="0"/>
        <v>19</v>
      </c>
      <c r="B20" s="5" t="s">
        <v>26</v>
      </c>
      <c r="C20" s="6">
        <v>4</v>
      </c>
      <c r="D20" t="s">
        <v>220</v>
      </c>
      <c r="E20" s="23" t="s">
        <v>573</v>
      </c>
      <c r="F20" s="22" t="s">
        <v>574</v>
      </c>
      <c r="G20" s="23" t="s">
        <v>575</v>
      </c>
      <c r="I20" s="22">
        <v>603</v>
      </c>
      <c r="J20" s="6" t="s">
        <v>223</v>
      </c>
    </row>
    <row r="21" spans="1:13" ht="15">
      <c r="A21" s="6">
        <f t="shared" si="0"/>
        <v>20</v>
      </c>
      <c r="B21" s="5" t="s">
        <v>30</v>
      </c>
      <c r="C21" s="6">
        <v>1</v>
      </c>
      <c r="D21" s="23" t="s">
        <v>246</v>
      </c>
      <c r="E21" s="23" t="s">
        <v>254</v>
      </c>
      <c r="F21" s="22" t="s">
        <v>31</v>
      </c>
      <c r="G21" s="23" t="s">
        <v>255</v>
      </c>
      <c r="I21" s="22">
        <v>805</v>
      </c>
      <c r="J21" s="6" t="s">
        <v>223</v>
      </c>
    </row>
    <row r="22" spans="1:13" ht="15">
      <c r="A22" s="6">
        <f t="shared" si="0"/>
        <v>21</v>
      </c>
      <c r="B22" s="5" t="s">
        <v>32</v>
      </c>
      <c r="C22" s="6">
        <v>2</v>
      </c>
      <c r="D22" s="23" t="s">
        <v>246</v>
      </c>
      <c r="E22" s="23" t="s">
        <v>259</v>
      </c>
      <c r="F22" s="22" t="s">
        <v>33</v>
      </c>
      <c r="G22" s="23" t="s">
        <v>260</v>
      </c>
      <c r="I22" s="22">
        <v>402</v>
      </c>
      <c r="J22" s="6" t="s">
        <v>223</v>
      </c>
    </row>
    <row r="23" spans="1:13" ht="15">
      <c r="A23" s="6">
        <f t="shared" si="0"/>
        <v>22</v>
      </c>
      <c r="B23" s="5" t="s">
        <v>34</v>
      </c>
      <c r="C23" s="6">
        <v>4</v>
      </c>
      <c r="D23" s="23" t="s">
        <v>236</v>
      </c>
      <c r="E23" s="23" t="s">
        <v>261</v>
      </c>
      <c r="F23" s="22" t="s">
        <v>35</v>
      </c>
      <c r="G23" s="23" t="s">
        <v>262</v>
      </c>
      <c r="I23" s="22">
        <v>1206</v>
      </c>
      <c r="J23" s="6" t="s">
        <v>223</v>
      </c>
    </row>
    <row r="24" spans="1:13" ht="101.4">
      <c r="A24" s="6">
        <f t="shared" si="0"/>
        <v>23</v>
      </c>
      <c r="B24" s="5" t="s">
        <v>36</v>
      </c>
      <c r="C24" s="6">
        <v>59</v>
      </c>
      <c r="D24" s="23" t="s">
        <v>233</v>
      </c>
      <c r="E24" s="23" t="s">
        <v>234</v>
      </c>
      <c r="F24" s="22" t="s">
        <v>33</v>
      </c>
      <c r="G24" s="23" t="s">
        <v>235</v>
      </c>
      <c r="I24" s="22">
        <v>201</v>
      </c>
      <c r="J24" s="6" t="s">
        <v>223</v>
      </c>
    </row>
    <row r="25" spans="1:13" ht="115.8">
      <c r="A25" s="6">
        <f t="shared" si="0"/>
        <v>24</v>
      </c>
      <c r="B25" s="5" t="s">
        <v>37</v>
      </c>
      <c r="C25" s="6">
        <v>66</v>
      </c>
      <c r="D25" s="23" t="s">
        <v>263</v>
      </c>
      <c r="E25" s="23" t="s">
        <v>264</v>
      </c>
      <c r="F25" s="22" t="s">
        <v>38</v>
      </c>
      <c r="G25" s="23" t="s">
        <v>265</v>
      </c>
      <c r="I25" s="22">
        <v>201</v>
      </c>
      <c r="J25" s="6" t="s">
        <v>223</v>
      </c>
    </row>
    <row r="26" spans="1:13" ht="15">
      <c r="A26" s="6">
        <f t="shared" si="0"/>
        <v>25</v>
      </c>
      <c r="B26" s="5" t="s">
        <v>39</v>
      </c>
      <c r="C26" s="6">
        <v>1</v>
      </c>
      <c r="D26" s="25" t="s">
        <v>266</v>
      </c>
      <c r="E26" s="23" t="s">
        <v>267</v>
      </c>
      <c r="F26" s="22" t="s">
        <v>40</v>
      </c>
      <c r="G26" s="23" t="s">
        <v>268</v>
      </c>
      <c r="H26" s="26"/>
      <c r="I26" s="22">
        <v>1206</v>
      </c>
      <c r="J26" s="6" t="s">
        <v>223</v>
      </c>
    </row>
    <row r="27" spans="1:13" ht="15">
      <c r="A27" s="6">
        <f t="shared" si="0"/>
        <v>26</v>
      </c>
      <c r="B27" s="5" t="s">
        <v>41</v>
      </c>
      <c r="C27" s="6">
        <v>2</v>
      </c>
      <c r="D27" s="23" t="s">
        <v>233</v>
      </c>
      <c r="E27" s="23" t="s">
        <v>269</v>
      </c>
      <c r="F27" s="22" t="s">
        <v>17</v>
      </c>
      <c r="G27" s="23" t="s">
        <v>270</v>
      </c>
      <c r="I27" s="22">
        <v>402</v>
      </c>
      <c r="J27" s="6" t="s">
        <v>223</v>
      </c>
    </row>
    <row r="28" spans="1:13" ht="15">
      <c r="A28" s="6">
        <f t="shared" si="0"/>
        <v>27</v>
      </c>
      <c r="B28" s="5" t="s">
        <v>42</v>
      </c>
      <c r="C28" s="6">
        <v>1</v>
      </c>
      <c r="D28" s="23" t="s">
        <v>236</v>
      </c>
      <c r="E28" s="23" t="s">
        <v>271</v>
      </c>
      <c r="F28" s="22" t="s">
        <v>43</v>
      </c>
      <c r="G28" s="23" t="s">
        <v>272</v>
      </c>
      <c r="I28" s="22">
        <v>402</v>
      </c>
      <c r="J28" s="6" t="s">
        <v>223</v>
      </c>
    </row>
    <row r="29" spans="1:13" ht="15">
      <c r="A29" s="6">
        <f t="shared" si="0"/>
        <v>28</v>
      </c>
      <c r="B29" s="5" t="s">
        <v>44</v>
      </c>
      <c r="C29" s="6">
        <v>1</v>
      </c>
      <c r="D29" s="23" t="s">
        <v>233</v>
      </c>
      <c r="E29" s="23" t="s">
        <v>273</v>
      </c>
      <c r="F29" s="22" t="s">
        <v>45</v>
      </c>
      <c r="G29" s="23" t="s">
        <v>274</v>
      </c>
      <c r="I29" s="22">
        <v>201</v>
      </c>
      <c r="J29" s="6" t="s">
        <v>223</v>
      </c>
    </row>
    <row r="30" spans="1:13" ht="15">
      <c r="A30" s="6">
        <f t="shared" si="0"/>
        <v>29</v>
      </c>
      <c r="B30" s="5" t="s">
        <v>46</v>
      </c>
      <c r="C30" s="6">
        <v>2</v>
      </c>
      <c r="D30" s="23" t="s">
        <v>275</v>
      </c>
      <c r="E30" s="23" t="s">
        <v>276</v>
      </c>
      <c r="F30" s="22" t="s">
        <v>43</v>
      </c>
      <c r="G30" s="23" t="s">
        <v>277</v>
      </c>
      <c r="I30" s="22">
        <v>201</v>
      </c>
      <c r="J30" s="6" t="s">
        <v>223</v>
      </c>
    </row>
    <row r="31" spans="1:13" ht="15">
      <c r="A31" s="6">
        <f t="shared" si="0"/>
        <v>30</v>
      </c>
      <c r="B31" s="5" t="s">
        <v>47</v>
      </c>
      <c r="C31" s="6">
        <v>3</v>
      </c>
      <c r="D31" s="23" t="s">
        <v>246</v>
      </c>
      <c r="E31" s="23" t="s">
        <v>279</v>
      </c>
      <c r="F31" s="22" t="s">
        <v>20</v>
      </c>
      <c r="G31" s="23" t="s">
        <v>280</v>
      </c>
      <c r="I31" s="22">
        <v>1206</v>
      </c>
      <c r="J31" s="6" t="s">
        <v>223</v>
      </c>
    </row>
    <row r="32" spans="1:13" ht="15">
      <c r="A32" s="6">
        <f t="shared" si="0"/>
        <v>31</v>
      </c>
      <c r="B32" s="5" t="s">
        <v>48</v>
      </c>
      <c r="C32" s="6">
        <v>1</v>
      </c>
      <c r="D32" t="s">
        <v>227</v>
      </c>
      <c r="E32" s="23" t="s">
        <v>505</v>
      </c>
      <c r="F32" s="23" t="s">
        <v>506</v>
      </c>
      <c r="G32" s="23" t="s">
        <v>507</v>
      </c>
      <c r="I32" s="22">
        <v>1206</v>
      </c>
      <c r="J32" s="6" t="s">
        <v>223</v>
      </c>
      <c r="M32" t="s">
        <v>589</v>
      </c>
    </row>
    <row r="33" spans="1:14" ht="15">
      <c r="A33" s="6">
        <f t="shared" si="0"/>
        <v>32</v>
      </c>
      <c r="B33" s="5" t="s">
        <v>49</v>
      </c>
      <c r="C33" s="6">
        <v>2</v>
      </c>
      <c r="D33" s="23" t="s">
        <v>256</v>
      </c>
      <c r="E33" s="23" t="s">
        <v>281</v>
      </c>
      <c r="F33" s="22" t="s">
        <v>27</v>
      </c>
      <c r="G33" s="23" t="s">
        <v>282</v>
      </c>
      <c r="I33" s="22">
        <v>201</v>
      </c>
      <c r="J33" s="6" t="s">
        <v>223</v>
      </c>
    </row>
    <row r="34" spans="1:14" ht="15">
      <c r="A34" s="6">
        <f t="shared" si="0"/>
        <v>33</v>
      </c>
      <c r="B34" s="5" t="s">
        <v>50</v>
      </c>
      <c r="C34" s="6">
        <v>1</v>
      </c>
      <c r="D34" s="23" t="s">
        <v>283</v>
      </c>
      <c r="E34" s="29" t="s">
        <v>51</v>
      </c>
      <c r="F34" s="22" t="s">
        <v>51</v>
      </c>
      <c r="G34" s="23" t="s">
        <v>285</v>
      </c>
      <c r="H34" s="26" t="s">
        <v>422</v>
      </c>
      <c r="I34" s="22" t="s">
        <v>284</v>
      </c>
      <c r="J34" s="6" t="s">
        <v>223</v>
      </c>
      <c r="L34" s="6"/>
      <c r="N34" t="s">
        <v>51</v>
      </c>
    </row>
    <row r="35" spans="1:14" ht="15">
      <c r="A35" s="6">
        <f t="shared" si="0"/>
        <v>34</v>
      </c>
      <c r="B35" s="5" t="s">
        <v>52</v>
      </c>
      <c r="C35" s="6">
        <v>1</v>
      </c>
      <c r="D35" s="23" t="s">
        <v>467</v>
      </c>
      <c r="E35" t="s">
        <v>53</v>
      </c>
      <c r="F35" t="s">
        <v>576</v>
      </c>
      <c r="G35" s="23" t="s">
        <v>560</v>
      </c>
      <c r="I35" t="s">
        <v>468</v>
      </c>
      <c r="J35" s="6" t="s">
        <v>223</v>
      </c>
      <c r="N35" t="s">
        <v>54</v>
      </c>
    </row>
    <row r="36" spans="1:14">
      <c r="A36" s="6">
        <f t="shared" si="0"/>
        <v>35</v>
      </c>
      <c r="B36" s="5" t="s">
        <v>55</v>
      </c>
      <c r="C36" s="6">
        <v>1</v>
      </c>
      <c r="D36" t="s">
        <v>286</v>
      </c>
      <c r="E36" s="22" t="s">
        <v>56</v>
      </c>
      <c r="F36" s="22" t="s">
        <v>56</v>
      </c>
      <c r="H36" s="26" t="s">
        <v>287</v>
      </c>
      <c r="I36" s="22" t="s">
        <v>288</v>
      </c>
      <c r="J36" s="6" t="s">
        <v>223</v>
      </c>
      <c r="N36" t="s">
        <v>57</v>
      </c>
    </row>
    <row r="37" spans="1:14" ht="15">
      <c r="A37" s="6">
        <f t="shared" si="0"/>
        <v>36</v>
      </c>
      <c r="B37" s="5" t="s">
        <v>58</v>
      </c>
      <c r="C37" s="6">
        <v>1</v>
      </c>
      <c r="D37" t="s">
        <v>286</v>
      </c>
      <c r="E37" s="23" t="s">
        <v>59</v>
      </c>
      <c r="F37" s="22" t="s">
        <v>571</v>
      </c>
      <c r="G37" s="23" t="s">
        <v>291</v>
      </c>
      <c r="H37" s="26" t="s">
        <v>423</v>
      </c>
      <c r="I37" s="22" t="s">
        <v>290</v>
      </c>
      <c r="J37" s="40" t="s">
        <v>607</v>
      </c>
      <c r="K37" s="6" t="s">
        <v>605</v>
      </c>
      <c r="M37" t="s">
        <v>572</v>
      </c>
      <c r="N37" t="s">
        <v>60</v>
      </c>
    </row>
    <row r="38" spans="1:14" ht="15" thickBot="1">
      <c r="A38" s="6">
        <f t="shared" si="0"/>
        <v>37</v>
      </c>
      <c r="B38" s="5" t="s">
        <v>61</v>
      </c>
      <c r="C38" s="6">
        <v>1</v>
      </c>
      <c r="D38" t="s">
        <v>383</v>
      </c>
      <c r="E38" t="s">
        <v>570</v>
      </c>
      <c r="F38" t="s">
        <v>590</v>
      </c>
      <c r="H38" s="26"/>
      <c r="I38" t="s">
        <v>588</v>
      </c>
      <c r="J38" s="41" t="s">
        <v>289</v>
      </c>
      <c r="K38" s="6" t="s">
        <v>605</v>
      </c>
      <c r="N38" s="27" t="s">
        <v>591</v>
      </c>
    </row>
    <row r="39" spans="1:14" ht="15.6" thickBot="1">
      <c r="A39" s="6">
        <f t="shared" si="0"/>
        <v>38</v>
      </c>
      <c r="B39" s="5" t="s">
        <v>62</v>
      </c>
      <c r="C39" s="6">
        <v>1</v>
      </c>
      <c r="D39" t="s">
        <v>469</v>
      </c>
      <c r="E39" t="s">
        <v>63</v>
      </c>
      <c r="F39" t="s">
        <v>470</v>
      </c>
      <c r="G39" s="23" t="s">
        <v>569</v>
      </c>
      <c r="H39" s="26" t="s">
        <v>577</v>
      </c>
      <c r="I39" t="s">
        <v>578</v>
      </c>
      <c r="J39" s="44" t="s">
        <v>579</v>
      </c>
      <c r="K39" s="6" t="s">
        <v>605</v>
      </c>
      <c r="N39" t="s">
        <v>64</v>
      </c>
    </row>
    <row r="40" spans="1:14" ht="15" thickBot="1">
      <c r="A40" s="6">
        <f t="shared" si="0"/>
        <v>39</v>
      </c>
      <c r="B40" s="5" t="s">
        <v>65</v>
      </c>
      <c r="C40" s="6">
        <v>3</v>
      </c>
      <c r="D40" t="s">
        <v>295</v>
      </c>
      <c r="E40" t="s">
        <v>296</v>
      </c>
      <c r="F40" s="22" t="s">
        <v>297</v>
      </c>
      <c r="G40" s="28" t="s">
        <v>568</v>
      </c>
      <c r="H40" t="s">
        <v>298</v>
      </c>
      <c r="I40" s="22" t="s">
        <v>299</v>
      </c>
      <c r="J40" s="45" t="s">
        <v>300</v>
      </c>
      <c r="K40" s="6" t="s">
        <v>605</v>
      </c>
      <c r="N40" t="s">
        <v>66</v>
      </c>
    </row>
    <row r="41" spans="1:14" ht="15.6" thickBot="1">
      <c r="A41" s="6">
        <f t="shared" si="0"/>
        <v>40</v>
      </c>
      <c r="B41" s="5" t="s">
        <v>67</v>
      </c>
      <c r="C41" s="6">
        <v>1</v>
      </c>
      <c r="D41" t="s">
        <v>301</v>
      </c>
      <c r="E41" t="s">
        <v>302</v>
      </c>
      <c r="F41" s="22" t="s">
        <v>68</v>
      </c>
      <c r="G41" s="23" t="s">
        <v>303</v>
      </c>
      <c r="H41" s="29" t="s">
        <v>424</v>
      </c>
      <c r="I41" s="22" t="s">
        <v>292</v>
      </c>
      <c r="J41" s="46" t="s">
        <v>592</v>
      </c>
      <c r="K41" s="6" t="s">
        <v>605</v>
      </c>
      <c r="N41" t="s">
        <v>69</v>
      </c>
    </row>
    <row r="42" spans="1:14" ht="15.6" thickBot="1">
      <c r="A42" s="6">
        <f t="shared" si="0"/>
        <v>41</v>
      </c>
      <c r="B42" s="5" t="s">
        <v>70</v>
      </c>
      <c r="C42" s="6">
        <v>1</v>
      </c>
      <c r="D42" t="s">
        <v>383</v>
      </c>
      <c r="E42" t="s">
        <v>71</v>
      </c>
      <c r="F42" t="s">
        <v>471</v>
      </c>
      <c r="G42" s="23" t="s">
        <v>559</v>
      </c>
      <c r="I42" t="s">
        <v>472</v>
      </c>
      <c r="J42" s="47" t="s">
        <v>593</v>
      </c>
      <c r="K42" s="6" t="s">
        <v>605</v>
      </c>
      <c r="N42" t="s">
        <v>72</v>
      </c>
    </row>
    <row r="43" spans="1:14" ht="15.6" thickBot="1">
      <c r="A43" s="6">
        <f t="shared" si="0"/>
        <v>42</v>
      </c>
      <c r="B43" s="5" t="s">
        <v>448</v>
      </c>
      <c r="C43" s="6">
        <v>4</v>
      </c>
      <c r="D43" t="s">
        <v>304</v>
      </c>
      <c r="E43" s="22">
        <v>734151471</v>
      </c>
      <c r="F43" s="22" t="s">
        <v>305</v>
      </c>
      <c r="G43" s="23" t="s">
        <v>307</v>
      </c>
      <c r="H43" s="26" t="s">
        <v>425</v>
      </c>
      <c r="I43" s="22" t="s">
        <v>306</v>
      </c>
      <c r="J43" s="48" t="s">
        <v>594</v>
      </c>
      <c r="K43" s="6" t="s">
        <v>605</v>
      </c>
    </row>
    <row r="44" spans="1:14" ht="15.6" thickBot="1">
      <c r="A44" s="6">
        <f t="shared" si="0"/>
        <v>43</v>
      </c>
      <c r="B44" s="5" t="s">
        <v>79</v>
      </c>
      <c r="C44" s="6">
        <v>1</v>
      </c>
      <c r="D44" t="s">
        <v>308</v>
      </c>
      <c r="E44" t="s">
        <v>80</v>
      </c>
      <c r="F44" s="22" t="s">
        <v>80</v>
      </c>
      <c r="G44" s="23" t="s">
        <v>310</v>
      </c>
      <c r="H44" s="29" t="s">
        <v>426</v>
      </c>
      <c r="I44" s="22" t="s">
        <v>309</v>
      </c>
      <c r="J44" s="48" t="s">
        <v>594</v>
      </c>
      <c r="K44" s="6" t="s">
        <v>605</v>
      </c>
      <c r="N44" t="s">
        <v>81</v>
      </c>
    </row>
    <row r="45" spans="1:14" ht="15.6" thickBot="1">
      <c r="A45" s="6">
        <f t="shared" si="0"/>
        <v>44</v>
      </c>
      <c r="B45" s="5" t="s">
        <v>82</v>
      </c>
      <c r="C45" s="6">
        <v>1</v>
      </c>
      <c r="D45" t="s">
        <v>304</v>
      </c>
      <c r="E45" t="s">
        <v>83</v>
      </c>
      <c r="F45" s="22" t="s">
        <v>567</v>
      </c>
      <c r="G45" s="23" t="s">
        <v>312</v>
      </c>
      <c r="H45" s="29" t="s">
        <v>427</v>
      </c>
      <c r="I45" s="22" t="s">
        <v>311</v>
      </c>
      <c r="J45" s="6" t="s">
        <v>223</v>
      </c>
    </row>
    <row r="46" spans="1:14" ht="15.6" thickBot="1">
      <c r="A46" s="6">
        <f t="shared" si="0"/>
        <v>45</v>
      </c>
      <c r="B46" s="5" t="s">
        <v>84</v>
      </c>
      <c r="C46" s="6">
        <v>1</v>
      </c>
      <c r="D46" t="s">
        <v>313</v>
      </c>
      <c r="E46" t="s">
        <v>314</v>
      </c>
      <c r="F46" s="22" t="s">
        <v>595</v>
      </c>
      <c r="G46" s="23" t="s">
        <v>428</v>
      </c>
      <c r="H46" t="s">
        <v>429</v>
      </c>
      <c r="I46" s="22" t="s">
        <v>315</v>
      </c>
      <c r="J46" s="48" t="s">
        <v>594</v>
      </c>
      <c r="K46" s="6" t="s">
        <v>605</v>
      </c>
    </row>
    <row r="47" spans="1:14" ht="15">
      <c r="A47" s="6">
        <f t="shared" si="0"/>
        <v>46</v>
      </c>
      <c r="B47" s="5" t="s">
        <v>87</v>
      </c>
      <c r="C47" s="6">
        <v>8</v>
      </c>
      <c r="D47" t="s">
        <v>278</v>
      </c>
      <c r="E47" s="26" t="s">
        <v>322</v>
      </c>
      <c r="F47" s="22" t="s">
        <v>88</v>
      </c>
      <c r="G47" s="23" t="s">
        <v>324</v>
      </c>
      <c r="H47" s="29" t="s">
        <v>433</v>
      </c>
      <c r="I47" s="22" t="s">
        <v>323</v>
      </c>
      <c r="J47" s="6" t="s">
        <v>223</v>
      </c>
    </row>
    <row r="48" spans="1:14" ht="15">
      <c r="A48" s="6">
        <f t="shared" si="0"/>
        <v>47</v>
      </c>
      <c r="B48" s="5" t="s">
        <v>89</v>
      </c>
      <c r="C48" s="6">
        <v>5</v>
      </c>
      <c r="D48" t="s">
        <v>316</v>
      </c>
      <c r="E48" s="29" t="s">
        <v>317</v>
      </c>
      <c r="F48" s="22" t="s">
        <v>90</v>
      </c>
      <c r="G48" s="23" t="s">
        <v>430</v>
      </c>
      <c r="H48" s="29" t="s">
        <v>431</v>
      </c>
      <c r="I48" s="22" t="s">
        <v>318</v>
      </c>
      <c r="J48" s="6" t="s">
        <v>223</v>
      </c>
    </row>
    <row r="49" spans="1:10" ht="15">
      <c r="A49" s="6">
        <f t="shared" si="0"/>
        <v>48</v>
      </c>
      <c r="B49" s="5" t="s">
        <v>91</v>
      </c>
      <c r="C49" s="6">
        <v>3</v>
      </c>
      <c r="D49" t="s">
        <v>236</v>
      </c>
      <c r="E49" t="s">
        <v>319</v>
      </c>
      <c r="F49" s="22" t="s">
        <v>92</v>
      </c>
      <c r="G49" s="23" t="s">
        <v>321</v>
      </c>
      <c r="H49" s="29" t="s">
        <v>432</v>
      </c>
      <c r="I49" s="22" t="s">
        <v>320</v>
      </c>
      <c r="J49" s="6" t="s">
        <v>223</v>
      </c>
    </row>
    <row r="50" spans="1:10" ht="15">
      <c r="A50" s="6">
        <f t="shared" si="0"/>
        <v>49</v>
      </c>
      <c r="B50" s="5" t="s">
        <v>93</v>
      </c>
      <c r="C50" s="6">
        <v>8</v>
      </c>
      <c r="D50" t="s">
        <v>236</v>
      </c>
      <c r="E50" s="23" t="s">
        <v>325</v>
      </c>
      <c r="F50" s="22" t="s">
        <v>94</v>
      </c>
      <c r="G50" s="23" t="s">
        <v>326</v>
      </c>
      <c r="I50" s="22" t="s">
        <v>327</v>
      </c>
      <c r="J50" s="6" t="s">
        <v>223</v>
      </c>
    </row>
    <row r="51" spans="1:10" ht="15">
      <c r="A51" s="6">
        <f t="shared" si="0"/>
        <v>50</v>
      </c>
      <c r="B51" s="5" t="s">
        <v>95</v>
      </c>
      <c r="C51" s="6">
        <v>2</v>
      </c>
      <c r="D51" t="s">
        <v>236</v>
      </c>
      <c r="E51" t="s">
        <v>328</v>
      </c>
      <c r="F51" s="22" t="s">
        <v>96</v>
      </c>
      <c r="G51" s="23" t="s">
        <v>329</v>
      </c>
      <c r="H51" s="29" t="s">
        <v>434</v>
      </c>
      <c r="I51" s="22" t="s">
        <v>320</v>
      </c>
      <c r="J51" s="6" t="s">
        <v>223</v>
      </c>
    </row>
    <row r="52" spans="1:10" ht="15">
      <c r="A52" s="6">
        <f t="shared" si="0"/>
        <v>51</v>
      </c>
      <c r="B52" s="5" t="s">
        <v>97</v>
      </c>
      <c r="C52" s="6">
        <v>2</v>
      </c>
      <c r="D52" t="s">
        <v>236</v>
      </c>
      <c r="E52" t="s">
        <v>330</v>
      </c>
      <c r="F52" s="22" t="s">
        <v>98</v>
      </c>
      <c r="G52" s="23" t="s">
        <v>331</v>
      </c>
      <c r="I52" s="22" t="s">
        <v>330</v>
      </c>
      <c r="J52" s="6" t="s">
        <v>223</v>
      </c>
    </row>
    <row r="53" spans="1:10" ht="15">
      <c r="A53" s="6">
        <f t="shared" si="0"/>
        <v>52</v>
      </c>
      <c r="B53" s="5" t="s">
        <v>99</v>
      </c>
      <c r="C53" s="6">
        <v>2</v>
      </c>
      <c r="D53" t="s">
        <v>236</v>
      </c>
      <c r="E53" t="s">
        <v>100</v>
      </c>
      <c r="F53" t="s">
        <v>100</v>
      </c>
      <c r="G53" s="23" t="s">
        <v>566</v>
      </c>
      <c r="I53" s="22">
        <v>603</v>
      </c>
      <c r="J53" s="6" t="s">
        <v>223</v>
      </c>
    </row>
    <row r="54" spans="1:10" ht="15">
      <c r="A54" s="6">
        <f t="shared" si="0"/>
        <v>53</v>
      </c>
      <c r="B54" s="5" t="s">
        <v>101</v>
      </c>
      <c r="C54" s="6">
        <v>8</v>
      </c>
      <c r="D54" t="s">
        <v>332</v>
      </c>
      <c r="E54" s="23" t="s">
        <v>508</v>
      </c>
      <c r="F54" s="22" t="s">
        <v>510</v>
      </c>
      <c r="G54" s="23" t="s">
        <v>509</v>
      </c>
      <c r="I54" s="22">
        <v>402</v>
      </c>
      <c r="J54" s="6" t="s">
        <v>223</v>
      </c>
    </row>
    <row r="55" spans="1:10" ht="15">
      <c r="A55" s="6">
        <f t="shared" si="0"/>
        <v>54</v>
      </c>
      <c r="B55" s="5" t="s">
        <v>102</v>
      </c>
      <c r="C55" s="6">
        <v>8</v>
      </c>
      <c r="D55" t="s">
        <v>511</v>
      </c>
      <c r="E55" s="23" t="s">
        <v>512</v>
      </c>
      <c r="F55" t="s">
        <v>514</v>
      </c>
      <c r="G55" s="23" t="s">
        <v>513</v>
      </c>
      <c r="I55" s="22">
        <v>402</v>
      </c>
      <c r="J55" s="6" t="s">
        <v>223</v>
      </c>
    </row>
    <row r="56" spans="1:10" ht="15">
      <c r="A56" s="6">
        <f t="shared" si="0"/>
        <v>55</v>
      </c>
      <c r="B56" s="5" t="s">
        <v>103</v>
      </c>
      <c r="C56" s="6">
        <v>3</v>
      </c>
      <c r="D56" s="23" t="s">
        <v>366</v>
      </c>
      <c r="E56" s="23" t="s">
        <v>367</v>
      </c>
      <c r="F56" s="22">
        <v>499</v>
      </c>
      <c r="G56" s="23" t="s">
        <v>368</v>
      </c>
      <c r="I56" s="22">
        <v>805</v>
      </c>
      <c r="J56" s="6" t="s">
        <v>223</v>
      </c>
    </row>
    <row r="57" spans="1:10" ht="15">
      <c r="A57" s="6">
        <f t="shared" si="0"/>
        <v>56</v>
      </c>
      <c r="B57" s="5" t="s">
        <v>463</v>
      </c>
      <c r="C57" s="6">
        <v>8</v>
      </c>
      <c r="D57" s="23" t="s">
        <v>515</v>
      </c>
      <c r="E57" s="23" t="s">
        <v>516</v>
      </c>
      <c r="F57" t="s">
        <v>518</v>
      </c>
      <c r="G57" s="23" t="s">
        <v>517</v>
      </c>
      <c r="I57" s="22">
        <v>201</v>
      </c>
      <c r="J57" s="6" t="s">
        <v>223</v>
      </c>
    </row>
    <row r="58" spans="1:10" ht="29.4">
      <c r="A58" s="6">
        <f t="shared" si="0"/>
        <v>57</v>
      </c>
      <c r="B58" s="5" t="s">
        <v>107</v>
      </c>
      <c r="C58" s="6">
        <v>14</v>
      </c>
      <c r="D58" t="s">
        <v>227</v>
      </c>
      <c r="E58" s="23" t="s">
        <v>519</v>
      </c>
      <c r="F58" t="s">
        <v>521</v>
      </c>
      <c r="G58" s="23" t="s">
        <v>520</v>
      </c>
      <c r="I58" s="22">
        <v>201</v>
      </c>
      <c r="J58" s="6" t="s">
        <v>223</v>
      </c>
    </row>
    <row r="59" spans="1:10" ht="15">
      <c r="A59" s="6">
        <f t="shared" si="0"/>
        <v>58</v>
      </c>
      <c r="B59" s="5" t="s">
        <v>108</v>
      </c>
      <c r="C59" s="6">
        <v>3</v>
      </c>
      <c r="D59" t="s">
        <v>227</v>
      </c>
      <c r="E59" s="23" t="s">
        <v>522</v>
      </c>
      <c r="F59" t="s">
        <v>524</v>
      </c>
      <c r="G59" s="23" t="s">
        <v>523</v>
      </c>
      <c r="I59" s="22">
        <v>201</v>
      </c>
      <c r="J59" s="6" t="s">
        <v>223</v>
      </c>
    </row>
    <row r="60" spans="1:10" ht="15">
      <c r="A60" s="6">
        <f t="shared" si="0"/>
        <v>59</v>
      </c>
      <c r="B60" s="5" t="s">
        <v>109</v>
      </c>
      <c r="C60" s="6">
        <v>2</v>
      </c>
      <c r="D60" t="s">
        <v>511</v>
      </c>
      <c r="E60" s="23" t="s">
        <v>525</v>
      </c>
      <c r="F60" t="s">
        <v>110</v>
      </c>
      <c r="G60" s="23" t="s">
        <v>526</v>
      </c>
      <c r="I60" s="22">
        <v>402</v>
      </c>
      <c r="J60" s="6" t="s">
        <v>223</v>
      </c>
    </row>
    <row r="61" spans="1:10" ht="15">
      <c r="A61" s="6">
        <f t="shared" si="0"/>
        <v>60</v>
      </c>
      <c r="B61" s="5" t="s">
        <v>112</v>
      </c>
      <c r="C61" s="6">
        <v>7</v>
      </c>
      <c r="D61" s="23" t="s">
        <v>332</v>
      </c>
      <c r="E61" s="23" t="s">
        <v>337</v>
      </c>
      <c r="F61" s="22" t="s">
        <v>113</v>
      </c>
      <c r="G61" s="23" t="s">
        <v>338</v>
      </c>
      <c r="I61" s="22">
        <v>201</v>
      </c>
      <c r="J61" s="6" t="s">
        <v>223</v>
      </c>
    </row>
    <row r="62" spans="1:10" ht="72.599999999999994">
      <c r="A62" s="6">
        <f t="shared" si="0"/>
        <v>61</v>
      </c>
      <c r="B62" s="5" t="s">
        <v>464</v>
      </c>
      <c r="C62" s="6">
        <v>39</v>
      </c>
      <c r="D62" s="23" t="s">
        <v>227</v>
      </c>
      <c r="E62" s="23" t="s">
        <v>348</v>
      </c>
      <c r="F62" s="22">
        <v>16.899999999999999</v>
      </c>
      <c r="G62" s="23" t="s">
        <v>349</v>
      </c>
      <c r="I62" s="22">
        <v>201</v>
      </c>
      <c r="J62" s="6" t="s">
        <v>223</v>
      </c>
    </row>
    <row r="63" spans="1:10" ht="15">
      <c r="A63" s="6">
        <f t="shared" si="0"/>
        <v>62</v>
      </c>
      <c r="B63" s="5" t="s">
        <v>115</v>
      </c>
      <c r="C63" s="6">
        <v>1</v>
      </c>
      <c r="D63" s="23" t="s">
        <v>332</v>
      </c>
      <c r="E63" s="23" t="s">
        <v>333</v>
      </c>
      <c r="F63" s="22" t="s">
        <v>110</v>
      </c>
      <c r="G63" s="23" t="s">
        <v>334</v>
      </c>
      <c r="I63" s="22">
        <v>805</v>
      </c>
      <c r="J63" s="6" t="s">
        <v>223</v>
      </c>
    </row>
    <row r="64" spans="1:10" ht="15">
      <c r="A64" s="6">
        <f t="shared" si="0"/>
        <v>63</v>
      </c>
      <c r="B64" s="5" t="s">
        <v>118</v>
      </c>
      <c r="C64" s="6">
        <v>1</v>
      </c>
      <c r="D64" s="23" t="s">
        <v>339</v>
      </c>
      <c r="E64" s="23" t="s">
        <v>340</v>
      </c>
      <c r="F64" s="22" t="s">
        <v>119</v>
      </c>
      <c r="G64" s="23" t="s">
        <v>341</v>
      </c>
      <c r="I64" s="22">
        <v>201</v>
      </c>
      <c r="J64" s="6" t="s">
        <v>223</v>
      </c>
    </row>
    <row r="65" spans="1:13" ht="29.4">
      <c r="A65" s="6">
        <f t="shared" si="0"/>
        <v>64</v>
      </c>
      <c r="B65" s="5" t="s">
        <v>120</v>
      </c>
      <c r="C65" s="6">
        <v>15</v>
      </c>
      <c r="D65" s="23" t="s">
        <v>339</v>
      </c>
      <c r="E65" s="23" t="s">
        <v>342</v>
      </c>
      <c r="F65" s="22" t="s">
        <v>597</v>
      </c>
      <c r="G65" s="23" t="s">
        <v>343</v>
      </c>
      <c r="I65" s="22">
        <v>201</v>
      </c>
      <c r="J65" s="6" t="s">
        <v>223</v>
      </c>
    </row>
    <row r="66" spans="1:13" ht="15">
      <c r="A66" s="6">
        <f t="shared" si="0"/>
        <v>65</v>
      </c>
      <c r="B66" s="5" t="s">
        <v>121</v>
      </c>
      <c r="C66" s="6">
        <v>1</v>
      </c>
      <c r="D66" s="23" t="s">
        <v>515</v>
      </c>
      <c r="E66" s="23" t="s">
        <v>527</v>
      </c>
      <c r="F66" t="s">
        <v>529</v>
      </c>
      <c r="G66" s="23" t="s">
        <v>528</v>
      </c>
      <c r="I66" s="22">
        <v>201</v>
      </c>
      <c r="J66" s="6" t="s">
        <v>223</v>
      </c>
    </row>
    <row r="67" spans="1:13" ht="15">
      <c r="A67" s="6">
        <f t="shared" si="0"/>
        <v>66</v>
      </c>
      <c r="B67" s="5" t="s">
        <v>122</v>
      </c>
      <c r="C67" s="6">
        <v>1</v>
      </c>
      <c r="D67" s="23" t="s">
        <v>332</v>
      </c>
      <c r="E67" s="23" t="s">
        <v>344</v>
      </c>
      <c r="F67" s="22" t="s">
        <v>123</v>
      </c>
      <c r="G67" s="23" t="s">
        <v>345</v>
      </c>
      <c r="I67" s="22">
        <v>201</v>
      </c>
      <c r="J67" s="6" t="s">
        <v>223</v>
      </c>
    </row>
    <row r="68" spans="1:13" ht="43.8">
      <c r="A68" s="6">
        <f t="shared" ref="A68:A112" si="1">+A67+1</f>
        <v>67</v>
      </c>
      <c r="B68" s="5" t="s">
        <v>609</v>
      </c>
      <c r="C68" s="6">
        <v>21</v>
      </c>
      <c r="D68" t="s">
        <v>332</v>
      </c>
      <c r="E68" s="23" t="s">
        <v>335</v>
      </c>
      <c r="F68" s="22" t="s">
        <v>110</v>
      </c>
      <c r="G68" s="23" t="s">
        <v>336</v>
      </c>
      <c r="I68" s="22">
        <v>201</v>
      </c>
      <c r="J68" s="6" t="s">
        <v>223</v>
      </c>
    </row>
    <row r="69" spans="1:13" ht="15">
      <c r="A69" s="6">
        <f t="shared" si="1"/>
        <v>68</v>
      </c>
      <c r="B69" s="5" t="s">
        <v>124</v>
      </c>
      <c r="C69" s="6">
        <v>1</v>
      </c>
      <c r="D69" s="23" t="s">
        <v>230</v>
      </c>
      <c r="E69" s="23" t="s">
        <v>346</v>
      </c>
      <c r="F69" s="22" t="s">
        <v>125</v>
      </c>
      <c r="G69" s="23" t="s">
        <v>347</v>
      </c>
      <c r="I69" s="22">
        <v>201</v>
      </c>
      <c r="J69" s="6" t="s">
        <v>223</v>
      </c>
    </row>
    <row r="70" spans="1:13" ht="15">
      <c r="A70" s="6">
        <f t="shared" si="1"/>
        <v>69</v>
      </c>
      <c r="B70" s="5" t="s">
        <v>126</v>
      </c>
      <c r="C70" s="6">
        <v>2</v>
      </c>
      <c r="D70" s="23" t="s">
        <v>227</v>
      </c>
      <c r="E70" s="23" t="s">
        <v>350</v>
      </c>
      <c r="F70" s="22">
        <v>1.05</v>
      </c>
      <c r="G70" s="23" t="s">
        <v>351</v>
      </c>
      <c r="I70" s="22">
        <v>201</v>
      </c>
      <c r="J70" s="6" t="s">
        <v>223</v>
      </c>
    </row>
    <row r="71" spans="1:13" ht="58.2">
      <c r="A71" s="6">
        <f t="shared" si="1"/>
        <v>70</v>
      </c>
      <c r="B71" s="5" t="s">
        <v>128</v>
      </c>
      <c r="C71" s="6">
        <v>30</v>
      </c>
      <c r="D71" s="23" t="s">
        <v>352</v>
      </c>
      <c r="E71" s="23" t="s">
        <v>353</v>
      </c>
      <c r="F71" s="22">
        <v>49.9</v>
      </c>
      <c r="G71" s="23" t="s">
        <v>354</v>
      </c>
      <c r="I71" s="22">
        <v>201</v>
      </c>
      <c r="J71" s="6" t="s">
        <v>223</v>
      </c>
    </row>
    <row r="72" spans="1:13" ht="15">
      <c r="A72" s="6">
        <f t="shared" si="1"/>
        <v>71</v>
      </c>
      <c r="B72" s="5" t="s">
        <v>131</v>
      </c>
      <c r="C72" s="6">
        <v>1</v>
      </c>
      <c r="D72" t="s">
        <v>511</v>
      </c>
      <c r="E72" s="23" t="s">
        <v>530</v>
      </c>
      <c r="F72" t="s">
        <v>532</v>
      </c>
      <c r="G72" s="23" t="s">
        <v>531</v>
      </c>
      <c r="I72" s="22">
        <v>603</v>
      </c>
      <c r="J72" s="6" t="s">
        <v>223</v>
      </c>
    </row>
    <row r="73" spans="1:13" ht="15">
      <c r="A73" s="6">
        <f t="shared" si="1"/>
        <v>72</v>
      </c>
      <c r="B73" s="5" t="s">
        <v>132</v>
      </c>
      <c r="C73" s="6">
        <v>3</v>
      </c>
      <c r="D73" s="23" t="s">
        <v>332</v>
      </c>
      <c r="E73" s="23" t="s">
        <v>355</v>
      </c>
      <c r="F73" s="22">
        <v>240</v>
      </c>
      <c r="G73" s="23" t="s">
        <v>356</v>
      </c>
      <c r="I73" s="22">
        <v>201</v>
      </c>
      <c r="J73" s="6" t="s">
        <v>223</v>
      </c>
      <c r="M73" t="s">
        <v>585</v>
      </c>
    </row>
    <row r="74" spans="1:13" ht="15">
      <c r="A74" s="6">
        <f t="shared" si="1"/>
        <v>73</v>
      </c>
      <c r="B74" s="5" t="s">
        <v>135</v>
      </c>
      <c r="C74" s="6">
        <v>2</v>
      </c>
      <c r="D74" s="23"/>
      <c r="E74" s="30" t="s">
        <v>357</v>
      </c>
      <c r="F74" s="22">
        <v>78.7</v>
      </c>
      <c r="G74" s="23"/>
      <c r="I74" s="22">
        <v>201</v>
      </c>
      <c r="J74" s="6" t="s">
        <v>223</v>
      </c>
    </row>
    <row r="75" spans="1:13" ht="15">
      <c r="A75" s="6">
        <f t="shared" si="1"/>
        <v>74</v>
      </c>
      <c r="B75" s="5" t="s">
        <v>136</v>
      </c>
      <c r="C75" s="6">
        <v>1</v>
      </c>
      <c r="D75" t="s">
        <v>511</v>
      </c>
      <c r="E75" s="23" t="s">
        <v>533</v>
      </c>
      <c r="F75" t="s">
        <v>535</v>
      </c>
      <c r="G75" s="23" t="s">
        <v>534</v>
      </c>
      <c r="I75" s="22">
        <v>1206</v>
      </c>
      <c r="J75" s="6" t="s">
        <v>223</v>
      </c>
    </row>
    <row r="76" spans="1:13" ht="15">
      <c r="A76" s="6">
        <f t="shared" si="1"/>
        <v>75</v>
      </c>
      <c r="B76" s="5" t="s">
        <v>610</v>
      </c>
      <c r="C76" s="6">
        <v>1</v>
      </c>
      <c r="D76" s="23" t="s">
        <v>275</v>
      </c>
      <c r="E76" s="23" t="s">
        <v>358</v>
      </c>
      <c r="F76" s="22" t="s">
        <v>137</v>
      </c>
      <c r="G76" s="23" t="s">
        <v>359</v>
      </c>
      <c r="I76" s="22">
        <v>201</v>
      </c>
      <c r="J76" s="6" t="s">
        <v>223</v>
      </c>
    </row>
    <row r="77" spans="1:13" ht="15">
      <c r="A77" s="6">
        <f t="shared" si="1"/>
        <v>76</v>
      </c>
      <c r="B77" s="5" t="s">
        <v>138</v>
      </c>
      <c r="C77" s="6">
        <v>1</v>
      </c>
      <c r="D77" s="23" t="s">
        <v>275</v>
      </c>
      <c r="E77" s="23" t="s">
        <v>360</v>
      </c>
      <c r="F77" t="s">
        <v>139</v>
      </c>
      <c r="G77" s="23" t="s">
        <v>361</v>
      </c>
      <c r="I77" s="22">
        <v>201</v>
      </c>
      <c r="J77" s="6" t="s">
        <v>223</v>
      </c>
      <c r="M77" t="s">
        <v>586</v>
      </c>
    </row>
    <row r="78" spans="1:13" ht="15">
      <c r="A78" s="6">
        <f t="shared" si="1"/>
        <v>77</v>
      </c>
      <c r="B78" s="5" t="s">
        <v>140</v>
      </c>
      <c r="C78" s="6">
        <v>2</v>
      </c>
      <c r="D78" s="23" t="s">
        <v>227</v>
      </c>
      <c r="E78" s="23" t="s">
        <v>362</v>
      </c>
      <c r="F78" s="22">
        <v>27.4</v>
      </c>
      <c r="G78" s="23" t="s">
        <v>363</v>
      </c>
      <c r="I78" s="22">
        <v>805</v>
      </c>
      <c r="J78" s="6" t="s">
        <v>223</v>
      </c>
    </row>
    <row r="79" spans="1:13" ht="15">
      <c r="A79" s="6">
        <f t="shared" si="1"/>
        <v>78</v>
      </c>
      <c r="B79" s="5" t="s">
        <v>141</v>
      </c>
      <c r="C79" s="6">
        <v>2</v>
      </c>
      <c r="D79" s="23" t="s">
        <v>352</v>
      </c>
      <c r="E79" s="23" t="s">
        <v>364</v>
      </c>
      <c r="F79" s="22">
        <v>330</v>
      </c>
      <c r="G79" s="23" t="s">
        <v>365</v>
      </c>
      <c r="I79" s="22">
        <v>201</v>
      </c>
      <c r="J79" s="6" t="s">
        <v>223</v>
      </c>
    </row>
    <row r="80" spans="1:13" ht="15">
      <c r="A80" s="6">
        <f t="shared" si="1"/>
        <v>79</v>
      </c>
      <c r="B80" s="5" t="s">
        <v>142</v>
      </c>
      <c r="C80" s="6">
        <v>1</v>
      </c>
      <c r="D80" s="23" t="s">
        <v>369</v>
      </c>
      <c r="E80" s="23" t="s">
        <v>370</v>
      </c>
      <c r="F80" s="22" t="s">
        <v>106</v>
      </c>
      <c r="G80" s="23" t="s">
        <v>371</v>
      </c>
      <c r="I80" s="22">
        <v>805</v>
      </c>
      <c r="J80" s="6" t="s">
        <v>223</v>
      </c>
    </row>
    <row r="81" spans="1:14" s="35" customFormat="1" ht="15">
      <c r="A81" s="6">
        <f t="shared" si="1"/>
        <v>80</v>
      </c>
      <c r="B81" s="31" t="s">
        <v>611</v>
      </c>
      <c r="C81" s="32">
        <v>4</v>
      </c>
      <c r="D81" s="33" t="s">
        <v>332</v>
      </c>
      <c r="E81" s="33" t="s">
        <v>372</v>
      </c>
      <c r="F81" s="34" t="s">
        <v>143</v>
      </c>
      <c r="G81" s="33" t="s">
        <v>373</v>
      </c>
      <c r="I81" s="34">
        <v>201</v>
      </c>
      <c r="J81" s="32" t="s">
        <v>223</v>
      </c>
      <c r="K81" s="32"/>
      <c r="L81" s="36"/>
    </row>
    <row r="82" spans="1:14" ht="15">
      <c r="A82" s="6">
        <f t="shared" si="1"/>
        <v>81</v>
      </c>
      <c r="B82" s="5" t="s">
        <v>144</v>
      </c>
      <c r="C82" s="6">
        <v>1</v>
      </c>
      <c r="D82" s="23" t="s">
        <v>275</v>
      </c>
      <c r="E82" s="23" t="s">
        <v>374</v>
      </c>
      <c r="F82" s="22">
        <v>100</v>
      </c>
      <c r="G82" s="23" t="s">
        <v>375</v>
      </c>
      <c r="I82" s="22">
        <v>805</v>
      </c>
      <c r="J82" s="6" t="s">
        <v>223</v>
      </c>
    </row>
    <row r="83" spans="1:14" ht="15">
      <c r="A83" s="6">
        <f t="shared" si="1"/>
        <v>82</v>
      </c>
      <c r="B83" s="5" t="s">
        <v>145</v>
      </c>
      <c r="C83" s="6">
        <v>1</v>
      </c>
      <c r="D83" s="23" t="s">
        <v>376</v>
      </c>
      <c r="E83" s="23" t="s">
        <v>377</v>
      </c>
      <c r="F83" s="22">
        <v>150</v>
      </c>
      <c r="G83" s="23" t="s">
        <v>378</v>
      </c>
      <c r="I83" s="22">
        <v>805</v>
      </c>
      <c r="J83" s="6" t="s">
        <v>223</v>
      </c>
    </row>
    <row r="84" spans="1:14" ht="15">
      <c r="A84" s="6">
        <f t="shared" si="1"/>
        <v>83</v>
      </c>
      <c r="B84" s="5" t="s">
        <v>146</v>
      </c>
      <c r="C84" s="6">
        <v>1</v>
      </c>
      <c r="D84" s="23"/>
      <c r="E84" s="23" t="s">
        <v>379</v>
      </c>
      <c r="F84" s="22">
        <v>22</v>
      </c>
      <c r="G84" s="23"/>
      <c r="I84" s="22">
        <v>201</v>
      </c>
      <c r="J84" s="6" t="s">
        <v>223</v>
      </c>
      <c r="M84" t="s">
        <v>587</v>
      </c>
    </row>
    <row r="85" spans="1:14" ht="15">
      <c r="A85" s="6">
        <f t="shared" si="1"/>
        <v>84</v>
      </c>
      <c r="B85" s="5" t="s">
        <v>147</v>
      </c>
      <c r="C85" s="6">
        <v>4</v>
      </c>
      <c r="D85" s="23" t="s">
        <v>380</v>
      </c>
      <c r="E85" s="23" t="s">
        <v>148</v>
      </c>
      <c r="F85" s="22" t="s">
        <v>598</v>
      </c>
      <c r="G85" s="23" t="s">
        <v>381</v>
      </c>
      <c r="I85" s="22" t="s">
        <v>382</v>
      </c>
      <c r="J85" s="6" t="s">
        <v>223</v>
      </c>
      <c r="N85" t="s">
        <v>149</v>
      </c>
    </row>
    <row r="86" spans="1:14" ht="15.6" thickBot="1">
      <c r="A86" s="6">
        <f t="shared" si="1"/>
        <v>85</v>
      </c>
      <c r="B86" s="5" t="s">
        <v>150</v>
      </c>
      <c r="C86" s="6">
        <v>10</v>
      </c>
      <c r="D86" t="s">
        <v>383</v>
      </c>
      <c r="E86" s="22" t="s">
        <v>151</v>
      </c>
      <c r="F86" s="22" t="s">
        <v>151</v>
      </c>
      <c r="G86" s="23" t="s">
        <v>384</v>
      </c>
      <c r="H86" s="29" t="s">
        <v>435</v>
      </c>
      <c r="I86" s="22" t="s">
        <v>565</v>
      </c>
      <c r="J86" s="6" t="s">
        <v>223</v>
      </c>
      <c r="N86" t="s">
        <v>151</v>
      </c>
    </row>
    <row r="87" spans="1:14" ht="15.6" thickBot="1">
      <c r="A87" s="6">
        <f t="shared" si="1"/>
        <v>86</v>
      </c>
      <c r="B87" s="5" t="s">
        <v>454</v>
      </c>
      <c r="C87" s="6">
        <v>4</v>
      </c>
      <c r="D87" t="s">
        <v>492</v>
      </c>
      <c r="E87" t="s">
        <v>152</v>
      </c>
      <c r="F87" t="s">
        <v>491</v>
      </c>
      <c r="G87" s="23" t="s">
        <v>563</v>
      </c>
      <c r="I87" t="s">
        <v>564</v>
      </c>
      <c r="J87" s="42" t="s">
        <v>289</v>
      </c>
      <c r="K87" s="6" t="s">
        <v>605</v>
      </c>
      <c r="N87" t="s">
        <v>152</v>
      </c>
    </row>
    <row r="88" spans="1:14" ht="15.6" thickBot="1">
      <c r="A88" s="6">
        <f t="shared" si="1"/>
        <v>87</v>
      </c>
      <c r="B88" s="5" t="s">
        <v>153</v>
      </c>
      <c r="C88" s="6">
        <v>2</v>
      </c>
      <c r="D88" s="23" t="s">
        <v>388</v>
      </c>
      <c r="E88" t="s">
        <v>396</v>
      </c>
      <c r="F88" s="22" t="s">
        <v>473</v>
      </c>
      <c r="G88" s="23" t="s">
        <v>439</v>
      </c>
      <c r="H88" s="26" t="s">
        <v>440</v>
      </c>
      <c r="I88" s="22" t="s">
        <v>396</v>
      </c>
      <c r="J88" s="6" t="s">
        <v>223</v>
      </c>
      <c r="N88" t="s">
        <v>154</v>
      </c>
    </row>
    <row r="89" spans="1:14" ht="15.6" thickBot="1">
      <c r="A89" s="6">
        <f t="shared" si="1"/>
        <v>88</v>
      </c>
      <c r="B89" s="5" t="s">
        <v>155</v>
      </c>
      <c r="C89" s="6">
        <v>2</v>
      </c>
      <c r="D89" t="s">
        <v>383</v>
      </c>
      <c r="E89" t="s">
        <v>156</v>
      </c>
      <c r="F89" t="s">
        <v>474</v>
      </c>
      <c r="G89" s="23" t="s">
        <v>557</v>
      </c>
      <c r="H89" s="26" t="s">
        <v>580</v>
      </c>
      <c r="I89" t="s">
        <v>558</v>
      </c>
      <c r="J89" s="42" t="s">
        <v>289</v>
      </c>
      <c r="K89" s="6" t="s">
        <v>605</v>
      </c>
      <c r="N89" t="s">
        <v>156</v>
      </c>
    </row>
    <row r="90" spans="1:14" ht="15">
      <c r="A90" s="6">
        <f t="shared" si="1"/>
        <v>89</v>
      </c>
      <c r="B90" s="5" t="s">
        <v>157</v>
      </c>
      <c r="C90" s="6">
        <v>2</v>
      </c>
      <c r="D90" t="s">
        <v>383</v>
      </c>
      <c r="E90" t="s">
        <v>158</v>
      </c>
      <c r="F90" t="s">
        <v>475</v>
      </c>
      <c r="G90" s="23" t="s">
        <v>555</v>
      </c>
      <c r="I90" t="s">
        <v>556</v>
      </c>
      <c r="J90" s="6" t="s">
        <v>223</v>
      </c>
    </row>
    <row r="91" spans="1:14" ht="15">
      <c r="A91" s="6">
        <f t="shared" si="1"/>
        <v>90</v>
      </c>
      <c r="B91" s="5" t="s">
        <v>159</v>
      </c>
      <c r="C91" s="6">
        <v>2</v>
      </c>
      <c r="D91" t="s">
        <v>383</v>
      </c>
      <c r="E91" t="s">
        <v>160</v>
      </c>
      <c r="F91" t="s">
        <v>476</v>
      </c>
      <c r="G91" s="23" t="s">
        <v>553</v>
      </c>
      <c r="I91" t="s">
        <v>554</v>
      </c>
      <c r="J91" s="6" t="s">
        <v>223</v>
      </c>
    </row>
    <row r="92" spans="1:14" ht="15">
      <c r="A92" s="6">
        <f t="shared" si="1"/>
        <v>91</v>
      </c>
      <c r="B92" s="5" t="s">
        <v>161</v>
      </c>
      <c r="C92" s="6">
        <v>2</v>
      </c>
      <c r="D92" t="s">
        <v>383</v>
      </c>
      <c r="E92" t="s">
        <v>162</v>
      </c>
      <c r="F92" t="s">
        <v>477</v>
      </c>
      <c r="G92" s="23" t="s">
        <v>552</v>
      </c>
      <c r="H92" s="26" t="s">
        <v>581</v>
      </c>
      <c r="I92" t="s">
        <v>582</v>
      </c>
      <c r="J92" s="6" t="s">
        <v>223</v>
      </c>
      <c r="L92" s="37"/>
      <c r="M92" s="38"/>
    </row>
    <row r="93" spans="1:14" ht="15.6" thickBot="1">
      <c r="A93" s="6">
        <f t="shared" si="1"/>
        <v>92</v>
      </c>
      <c r="B93" s="5" t="s">
        <v>163</v>
      </c>
      <c r="C93" s="6">
        <v>2</v>
      </c>
      <c r="D93" t="s">
        <v>383</v>
      </c>
      <c r="E93" t="s">
        <v>164</v>
      </c>
      <c r="F93" t="s">
        <v>479</v>
      </c>
      <c r="G93" s="23" t="s">
        <v>385</v>
      </c>
      <c r="I93" t="s">
        <v>551</v>
      </c>
      <c r="J93" s="6" t="s">
        <v>223</v>
      </c>
      <c r="N93" t="s">
        <v>165</v>
      </c>
    </row>
    <row r="94" spans="1:14" ht="15">
      <c r="A94" s="6">
        <f t="shared" si="1"/>
        <v>93</v>
      </c>
      <c r="B94" s="5" t="s">
        <v>166</v>
      </c>
      <c r="C94" s="6">
        <v>1</v>
      </c>
      <c r="D94" t="s">
        <v>293</v>
      </c>
      <c r="E94" t="s">
        <v>537</v>
      </c>
      <c r="F94" t="s">
        <v>538</v>
      </c>
      <c r="G94" s="23" t="s">
        <v>536</v>
      </c>
      <c r="I94" t="s">
        <v>480</v>
      </c>
      <c r="J94" s="43" t="s">
        <v>289</v>
      </c>
      <c r="K94" s="6" t="s">
        <v>605</v>
      </c>
      <c r="N94" t="s">
        <v>167</v>
      </c>
    </row>
    <row r="95" spans="1:14" ht="15">
      <c r="A95" s="6">
        <f t="shared" si="1"/>
        <v>94</v>
      </c>
      <c r="B95" s="5" t="s">
        <v>168</v>
      </c>
      <c r="C95" s="6">
        <v>1</v>
      </c>
      <c r="D95" t="s">
        <v>540</v>
      </c>
      <c r="E95" s="23" t="s">
        <v>169</v>
      </c>
      <c r="F95" s="23" t="s">
        <v>541</v>
      </c>
      <c r="G95" s="23" t="s">
        <v>542</v>
      </c>
      <c r="I95" t="s">
        <v>539</v>
      </c>
      <c r="J95" s="49" t="s">
        <v>486</v>
      </c>
      <c r="K95" s="6" t="s">
        <v>605</v>
      </c>
      <c r="N95" t="s">
        <v>170</v>
      </c>
    </row>
    <row r="96" spans="1:14" ht="15">
      <c r="A96" s="6">
        <f t="shared" si="1"/>
        <v>95</v>
      </c>
      <c r="B96" s="5" t="s">
        <v>171</v>
      </c>
      <c r="C96" s="6">
        <v>1</v>
      </c>
      <c r="D96" t="s">
        <v>293</v>
      </c>
      <c r="E96" t="s">
        <v>172</v>
      </c>
      <c r="F96" t="s">
        <v>544</v>
      </c>
      <c r="G96" s="23" t="s">
        <v>543</v>
      </c>
      <c r="I96" t="s">
        <v>481</v>
      </c>
      <c r="J96" s="51" t="s">
        <v>294</v>
      </c>
      <c r="K96" s="6" t="s">
        <v>605</v>
      </c>
      <c r="N96" t="s">
        <v>173</v>
      </c>
    </row>
    <row r="97" spans="1:14" ht="15">
      <c r="A97" s="6">
        <f t="shared" si="1"/>
        <v>96</v>
      </c>
      <c r="B97" s="5" t="s">
        <v>174</v>
      </c>
      <c r="C97" s="6">
        <v>2</v>
      </c>
      <c r="D97" s="23" t="s">
        <v>388</v>
      </c>
      <c r="E97" t="s">
        <v>175</v>
      </c>
      <c r="F97" t="s">
        <v>547</v>
      </c>
      <c r="G97" s="23" t="s">
        <v>545</v>
      </c>
      <c r="I97" s="23" t="s">
        <v>546</v>
      </c>
      <c r="J97" s="6" t="s">
        <v>223</v>
      </c>
      <c r="N97" t="s">
        <v>176</v>
      </c>
    </row>
    <row r="98" spans="1:14" ht="15">
      <c r="A98" s="6">
        <f t="shared" si="1"/>
        <v>97</v>
      </c>
      <c r="B98" s="5" t="s">
        <v>177</v>
      </c>
      <c r="C98" s="6">
        <v>2</v>
      </c>
      <c r="D98" t="s">
        <v>383</v>
      </c>
      <c r="E98" t="s">
        <v>178</v>
      </c>
      <c r="F98" t="s">
        <v>482</v>
      </c>
      <c r="G98" s="23" t="s">
        <v>548</v>
      </c>
      <c r="I98" t="s">
        <v>549</v>
      </c>
      <c r="J98" s="6" t="s">
        <v>223</v>
      </c>
    </row>
    <row r="99" spans="1:14" ht="15">
      <c r="A99" s="6">
        <f t="shared" si="1"/>
        <v>98</v>
      </c>
      <c r="B99" s="5" t="s">
        <v>179</v>
      </c>
      <c r="C99" s="6">
        <v>1</v>
      </c>
      <c r="D99" s="23" t="s">
        <v>293</v>
      </c>
      <c r="E99" t="s">
        <v>386</v>
      </c>
      <c r="F99" s="22" t="s">
        <v>180</v>
      </c>
      <c r="G99" s="23" t="s">
        <v>387</v>
      </c>
      <c r="H99" s="26" t="s">
        <v>437</v>
      </c>
      <c r="I99" s="22" t="s">
        <v>455</v>
      </c>
      <c r="J99" s="6" t="s">
        <v>223</v>
      </c>
      <c r="N99" t="s">
        <v>181</v>
      </c>
    </row>
    <row r="100" spans="1:14" ht="15.6" thickBot="1">
      <c r="A100" s="6">
        <f t="shared" si="1"/>
        <v>99</v>
      </c>
      <c r="B100" s="5" t="s">
        <v>182</v>
      </c>
      <c r="C100" s="6">
        <v>1</v>
      </c>
      <c r="D100" s="23" t="s">
        <v>388</v>
      </c>
      <c r="E100" s="22" t="s">
        <v>183</v>
      </c>
      <c r="F100" s="22" t="s">
        <v>183</v>
      </c>
      <c r="G100" s="23" t="s">
        <v>390</v>
      </c>
      <c r="H100" s="26" t="s">
        <v>438</v>
      </c>
      <c r="I100" s="22" t="s">
        <v>389</v>
      </c>
      <c r="J100" s="6" t="s">
        <v>223</v>
      </c>
      <c r="N100" t="s">
        <v>184</v>
      </c>
    </row>
    <row r="101" spans="1:14" ht="15.6" thickBot="1">
      <c r="A101" s="6">
        <f t="shared" si="1"/>
        <v>100</v>
      </c>
      <c r="B101" s="5" t="s">
        <v>185</v>
      </c>
      <c r="C101" s="6">
        <v>1</v>
      </c>
      <c r="D101" s="23" t="s">
        <v>388</v>
      </c>
      <c r="E101" t="s">
        <v>186</v>
      </c>
      <c r="F101" s="22" t="s">
        <v>186</v>
      </c>
      <c r="G101" s="23" t="s">
        <v>391</v>
      </c>
      <c r="I101" s="22" t="s">
        <v>392</v>
      </c>
      <c r="J101" s="45" t="s">
        <v>300</v>
      </c>
      <c r="K101" s="6" t="s">
        <v>605</v>
      </c>
      <c r="N101" t="s">
        <v>186</v>
      </c>
    </row>
    <row r="102" spans="1:14" ht="15.6" thickBot="1">
      <c r="A102" s="6">
        <f t="shared" si="1"/>
        <v>101</v>
      </c>
      <c r="B102" s="5" t="s">
        <v>187</v>
      </c>
      <c r="C102" s="6">
        <v>2</v>
      </c>
      <c r="D102" t="s">
        <v>383</v>
      </c>
      <c r="E102" t="s">
        <v>188</v>
      </c>
      <c r="F102" t="s">
        <v>483</v>
      </c>
      <c r="G102" s="23" t="s">
        <v>436</v>
      </c>
      <c r="H102" s="26" t="s">
        <v>583</v>
      </c>
      <c r="I102" t="s">
        <v>478</v>
      </c>
      <c r="J102" s="6" t="s">
        <v>223</v>
      </c>
      <c r="L102" s="37"/>
      <c r="M102" s="38"/>
    </row>
    <row r="103" spans="1:14" ht="15.6" thickBot="1">
      <c r="A103" s="6">
        <f t="shared" si="1"/>
        <v>102</v>
      </c>
      <c r="B103" s="5" t="s">
        <v>189</v>
      </c>
      <c r="C103" s="6">
        <v>2</v>
      </c>
      <c r="D103" t="s">
        <v>383</v>
      </c>
      <c r="E103" t="s">
        <v>190</v>
      </c>
      <c r="F103" t="s">
        <v>484</v>
      </c>
      <c r="G103" s="23" t="s">
        <v>550</v>
      </c>
      <c r="H103" s="26" t="s">
        <v>584</v>
      </c>
      <c r="I103" t="s">
        <v>485</v>
      </c>
      <c r="J103" s="50" t="s">
        <v>486</v>
      </c>
      <c r="K103" s="6" t="s">
        <v>605</v>
      </c>
    </row>
    <row r="104" spans="1:14" ht="15.6" thickBot="1">
      <c r="A104" s="6">
        <f t="shared" si="1"/>
        <v>103</v>
      </c>
      <c r="B104" s="5" t="s">
        <v>191</v>
      </c>
      <c r="C104" s="6">
        <v>1</v>
      </c>
      <c r="D104" s="23" t="s">
        <v>393</v>
      </c>
      <c r="E104" t="s">
        <v>192</v>
      </c>
      <c r="F104" s="22" t="s">
        <v>192</v>
      </c>
      <c r="G104" s="23" t="s">
        <v>394</v>
      </c>
      <c r="I104" s="22" t="s">
        <v>395</v>
      </c>
      <c r="J104" s="45" t="s">
        <v>300</v>
      </c>
      <c r="K104" s="6" t="s">
        <v>605</v>
      </c>
      <c r="N104" t="s">
        <v>192</v>
      </c>
    </row>
    <row r="105" spans="1:14" ht="15">
      <c r="A105" s="6">
        <f t="shared" si="1"/>
        <v>104</v>
      </c>
      <c r="B105" s="5" t="s">
        <v>193</v>
      </c>
      <c r="C105" s="6">
        <v>1</v>
      </c>
      <c r="D105" s="23" t="s">
        <v>397</v>
      </c>
      <c r="E105" t="s">
        <v>194</v>
      </c>
      <c r="F105" s="22" t="s">
        <v>194</v>
      </c>
      <c r="G105" s="23" t="s">
        <v>399</v>
      </c>
      <c r="H105" t="s">
        <v>441</v>
      </c>
      <c r="I105" s="22" t="s">
        <v>398</v>
      </c>
      <c r="J105" s="6" t="s">
        <v>223</v>
      </c>
      <c r="N105" t="s">
        <v>194</v>
      </c>
    </row>
    <row r="106" spans="1:14" ht="15.6" thickBot="1">
      <c r="A106" s="6">
        <f t="shared" si="1"/>
        <v>105</v>
      </c>
      <c r="B106" s="5" t="s">
        <v>195</v>
      </c>
      <c r="C106" s="6">
        <v>1</v>
      </c>
      <c r="D106" s="23" t="s">
        <v>293</v>
      </c>
      <c r="E106" s="29" t="s">
        <v>400</v>
      </c>
      <c r="F106" s="22" t="s">
        <v>196</v>
      </c>
      <c r="G106" s="23" t="s">
        <v>401</v>
      </c>
      <c r="H106" s="29" t="s">
        <v>442</v>
      </c>
      <c r="I106" s="22" t="s">
        <v>456</v>
      </c>
      <c r="J106" s="6" t="s">
        <v>223</v>
      </c>
      <c r="N106" t="s">
        <v>197</v>
      </c>
    </row>
    <row r="107" spans="1:14" ht="15.6" thickBot="1">
      <c r="A107" s="6">
        <f t="shared" si="1"/>
        <v>106</v>
      </c>
      <c r="B107" s="5" t="s">
        <v>198</v>
      </c>
      <c r="C107" s="6">
        <v>1</v>
      </c>
      <c r="D107" t="s">
        <v>402</v>
      </c>
      <c r="E107" s="23" t="s">
        <v>403</v>
      </c>
      <c r="F107" s="22" t="s">
        <v>199</v>
      </c>
      <c r="G107" s="23" t="s">
        <v>405</v>
      </c>
      <c r="H107" t="s">
        <v>443</v>
      </c>
      <c r="I107" s="22" t="s">
        <v>404</v>
      </c>
      <c r="J107" s="42" t="s">
        <v>289</v>
      </c>
      <c r="K107" s="6" t="s">
        <v>605</v>
      </c>
      <c r="N107" t="s">
        <v>200</v>
      </c>
    </row>
    <row r="108" spans="1:14" ht="15.6" thickBot="1">
      <c r="A108" s="6">
        <f t="shared" si="1"/>
        <v>107</v>
      </c>
      <c r="B108" s="5" t="s">
        <v>201</v>
      </c>
      <c r="C108" s="6">
        <v>1</v>
      </c>
      <c r="D108" s="23" t="s">
        <v>293</v>
      </c>
      <c r="E108" s="29" t="s">
        <v>406</v>
      </c>
      <c r="F108" s="22" t="s">
        <v>202</v>
      </c>
      <c r="G108" s="23" t="s">
        <v>407</v>
      </c>
      <c r="H108" s="26" t="s">
        <v>444</v>
      </c>
      <c r="I108" s="22" t="s">
        <v>204</v>
      </c>
      <c r="J108" s="6" t="s">
        <v>223</v>
      </c>
      <c r="N108" t="s">
        <v>203</v>
      </c>
    </row>
    <row r="109" spans="1:14" ht="15.6" thickBot="1">
      <c r="A109" s="6">
        <f t="shared" si="1"/>
        <v>108</v>
      </c>
      <c r="B109" s="5" t="s">
        <v>205</v>
      </c>
      <c r="C109" s="6">
        <v>1</v>
      </c>
      <c r="D109" s="23" t="s">
        <v>408</v>
      </c>
      <c r="E109" s="29" t="s">
        <v>206</v>
      </c>
      <c r="F109" s="22" t="s">
        <v>206</v>
      </c>
      <c r="G109" s="23" t="s">
        <v>410</v>
      </c>
      <c r="H109" s="26" t="s">
        <v>445</v>
      </c>
      <c r="I109" s="22" t="s">
        <v>409</v>
      </c>
      <c r="J109" s="45" t="s">
        <v>300</v>
      </c>
      <c r="K109" s="6" t="s">
        <v>605</v>
      </c>
      <c r="N109" t="s">
        <v>207</v>
      </c>
    </row>
    <row r="110" spans="1:14" ht="15">
      <c r="A110" s="6">
        <f t="shared" si="1"/>
        <v>109</v>
      </c>
      <c r="B110" s="5" t="s">
        <v>208</v>
      </c>
      <c r="C110" s="6">
        <v>1</v>
      </c>
      <c r="D110" s="23" t="s">
        <v>411</v>
      </c>
      <c r="E110" s="39" t="s">
        <v>412</v>
      </c>
      <c r="F110" t="s">
        <v>487</v>
      </c>
      <c r="G110" t="s">
        <v>446</v>
      </c>
      <c r="H110" s="26" t="s">
        <v>447</v>
      </c>
      <c r="I110" s="22" t="s">
        <v>413</v>
      </c>
      <c r="J110" s="6" t="s">
        <v>223</v>
      </c>
      <c r="N110" t="s">
        <v>209</v>
      </c>
    </row>
    <row r="111" spans="1:14" ht="15">
      <c r="A111" s="6">
        <f t="shared" si="1"/>
        <v>110</v>
      </c>
      <c r="B111" s="5" t="s">
        <v>210</v>
      </c>
      <c r="C111" s="6">
        <v>1</v>
      </c>
      <c r="D111" t="s">
        <v>414</v>
      </c>
      <c r="E111" t="s">
        <v>211</v>
      </c>
      <c r="F111" t="s">
        <v>488</v>
      </c>
      <c r="G111" s="23" t="s">
        <v>561</v>
      </c>
      <c r="H111" s="26" t="s">
        <v>415</v>
      </c>
      <c r="I111" s="22" t="s">
        <v>416</v>
      </c>
      <c r="J111" s="6" t="s">
        <v>223</v>
      </c>
      <c r="N111" t="s">
        <v>212</v>
      </c>
    </row>
    <row r="112" spans="1:14" ht="15">
      <c r="A112" s="6">
        <f t="shared" si="1"/>
        <v>111</v>
      </c>
      <c r="B112" s="5" t="s">
        <v>213</v>
      </c>
      <c r="C112" s="6">
        <v>1</v>
      </c>
      <c r="D112" t="s">
        <v>417</v>
      </c>
      <c r="E112" s="26" t="s">
        <v>214</v>
      </c>
      <c r="F112" t="s">
        <v>489</v>
      </c>
      <c r="G112" s="23" t="s">
        <v>562</v>
      </c>
      <c r="H112" s="26" t="s">
        <v>418</v>
      </c>
      <c r="I112" s="22" t="s">
        <v>419</v>
      </c>
      <c r="J112" s="6" t="s">
        <v>223</v>
      </c>
      <c r="N112" t="s">
        <v>215</v>
      </c>
    </row>
    <row r="113" spans="1:12">
      <c r="A113"/>
      <c r="B113"/>
      <c r="C113" s="4">
        <f>SUM(C2:C112)</f>
        <v>585</v>
      </c>
      <c r="D113" s="54" t="s">
        <v>619</v>
      </c>
      <c r="J113"/>
      <c r="L113"/>
    </row>
    <row r="114" spans="1:12" ht="46.8" customHeight="1">
      <c r="A114"/>
      <c r="B114" s="80" t="s">
        <v>618</v>
      </c>
      <c r="C114" s="80"/>
      <c r="D114" s="80"/>
      <c r="E114" s="22"/>
      <c r="J114"/>
      <c r="L114"/>
    </row>
    <row r="115" spans="1:12" s="10" customFormat="1" ht="15">
      <c r="A115" s="11">
        <v>1</v>
      </c>
      <c r="B115" s="14" t="s">
        <v>10</v>
      </c>
      <c r="C115" s="11">
        <v>0</v>
      </c>
      <c r="D115" s="15" t="s">
        <v>2</v>
      </c>
      <c r="F115" s="10" t="s">
        <v>2</v>
      </c>
      <c r="I115" s="12">
        <v>603</v>
      </c>
      <c r="J115" s="11"/>
      <c r="K115" s="11"/>
      <c r="L115" s="13" t="s">
        <v>490</v>
      </c>
    </row>
    <row r="116" spans="1:12" s="10" customFormat="1" ht="15">
      <c r="A116" s="11">
        <f>+A115+1</f>
        <v>2</v>
      </c>
      <c r="B116" s="14" t="s">
        <v>28</v>
      </c>
      <c r="C116" s="11">
        <v>0</v>
      </c>
      <c r="D116" s="15" t="s">
        <v>2</v>
      </c>
      <c r="F116" s="10" t="s">
        <v>29</v>
      </c>
      <c r="I116" s="12">
        <v>603</v>
      </c>
      <c r="J116" s="11"/>
      <c r="K116" s="11"/>
      <c r="L116" s="13" t="s">
        <v>490</v>
      </c>
    </row>
    <row r="117" spans="1:12" s="10" customFormat="1">
      <c r="A117" s="11">
        <f t="shared" ref="A117:A132" si="2">+A116+1</f>
        <v>3</v>
      </c>
      <c r="B117" s="14" t="s">
        <v>466</v>
      </c>
      <c r="C117" s="11">
        <v>0</v>
      </c>
      <c r="D117" s="10" t="s">
        <v>2</v>
      </c>
      <c r="F117" s="10" t="s">
        <v>2</v>
      </c>
      <c r="I117" s="12">
        <v>201</v>
      </c>
      <c r="J117" s="11"/>
      <c r="K117" s="11"/>
      <c r="L117" s="13" t="s">
        <v>490</v>
      </c>
    </row>
    <row r="118" spans="1:12" s="10" customFormat="1">
      <c r="A118" s="11">
        <f t="shared" si="2"/>
        <v>4</v>
      </c>
      <c r="B118" s="14" t="s">
        <v>73</v>
      </c>
      <c r="C118" s="11">
        <v>0</v>
      </c>
      <c r="D118" s="10" t="s">
        <v>2</v>
      </c>
      <c r="F118" s="10" t="s">
        <v>451</v>
      </c>
      <c r="I118" s="12" t="s">
        <v>458</v>
      </c>
      <c r="J118" s="11"/>
      <c r="K118" s="11"/>
      <c r="L118" s="13" t="s">
        <v>490</v>
      </c>
    </row>
    <row r="119" spans="1:12" s="10" customFormat="1">
      <c r="A119" s="11">
        <f t="shared" si="2"/>
        <v>5</v>
      </c>
      <c r="B119" s="14" t="s">
        <v>74</v>
      </c>
      <c r="C119" s="11">
        <v>0</v>
      </c>
      <c r="D119" s="10" t="s">
        <v>2</v>
      </c>
      <c r="F119" s="10" t="s">
        <v>451</v>
      </c>
      <c r="I119" s="12" t="s">
        <v>459</v>
      </c>
      <c r="J119" s="11"/>
      <c r="K119" s="11"/>
      <c r="L119" s="13" t="s">
        <v>490</v>
      </c>
    </row>
    <row r="120" spans="1:12" s="10" customFormat="1">
      <c r="A120" s="11">
        <f t="shared" si="2"/>
        <v>6</v>
      </c>
      <c r="B120" s="14" t="s">
        <v>75</v>
      </c>
      <c r="C120" s="11">
        <v>0</v>
      </c>
      <c r="D120" s="10" t="s">
        <v>2</v>
      </c>
      <c r="F120" s="10" t="s">
        <v>451</v>
      </c>
      <c r="I120" s="12" t="s">
        <v>459</v>
      </c>
      <c r="J120" s="11"/>
      <c r="K120" s="11"/>
      <c r="L120" s="13" t="s">
        <v>490</v>
      </c>
    </row>
    <row r="121" spans="1:12" s="10" customFormat="1">
      <c r="A121" s="11">
        <f t="shared" si="2"/>
        <v>7</v>
      </c>
      <c r="B121" s="14" t="s">
        <v>76</v>
      </c>
      <c r="C121" s="11">
        <v>0</v>
      </c>
      <c r="D121" s="10" t="s">
        <v>2</v>
      </c>
      <c r="F121" s="10" t="s">
        <v>451</v>
      </c>
      <c r="I121" s="12" t="s">
        <v>460</v>
      </c>
      <c r="J121" s="11"/>
      <c r="K121" s="11"/>
      <c r="L121" s="13" t="s">
        <v>490</v>
      </c>
    </row>
    <row r="122" spans="1:12" s="10" customFormat="1">
      <c r="A122" s="11">
        <f t="shared" si="2"/>
        <v>8</v>
      </c>
      <c r="B122" s="14" t="s">
        <v>77</v>
      </c>
      <c r="C122" s="11">
        <v>0</v>
      </c>
      <c r="D122" s="10" t="s">
        <v>2</v>
      </c>
      <c r="F122" s="10" t="s">
        <v>451</v>
      </c>
      <c r="I122" s="12" t="s">
        <v>450</v>
      </c>
      <c r="J122" s="11"/>
      <c r="K122" s="11"/>
      <c r="L122" s="13" t="s">
        <v>490</v>
      </c>
    </row>
    <row r="123" spans="1:12" s="10" customFormat="1">
      <c r="A123" s="11">
        <f t="shared" si="2"/>
        <v>9</v>
      </c>
      <c r="B123" s="14" t="s">
        <v>78</v>
      </c>
      <c r="C123" s="11">
        <v>0</v>
      </c>
      <c r="D123" s="10" t="s">
        <v>2</v>
      </c>
      <c r="F123" s="10" t="s">
        <v>451</v>
      </c>
      <c r="I123" s="12" t="s">
        <v>449</v>
      </c>
      <c r="J123" s="11"/>
      <c r="K123" s="11"/>
      <c r="L123" s="13" t="s">
        <v>490</v>
      </c>
    </row>
    <row r="124" spans="1:12" s="10" customFormat="1">
      <c r="A124" s="11">
        <f t="shared" si="2"/>
        <v>10</v>
      </c>
      <c r="B124" s="14" t="s">
        <v>85</v>
      </c>
      <c r="C124" s="11">
        <v>0</v>
      </c>
      <c r="D124" s="10" t="s">
        <v>2</v>
      </c>
      <c r="F124" s="10" t="s">
        <v>86</v>
      </c>
      <c r="I124" s="10" t="s">
        <v>596</v>
      </c>
      <c r="J124" s="11"/>
      <c r="K124" s="11"/>
      <c r="L124" s="13" t="s">
        <v>490</v>
      </c>
    </row>
    <row r="125" spans="1:12" s="10" customFormat="1">
      <c r="A125" s="11">
        <f t="shared" si="2"/>
        <v>11</v>
      </c>
      <c r="B125" s="14" t="s">
        <v>104</v>
      </c>
      <c r="C125" s="11">
        <v>0</v>
      </c>
      <c r="D125" s="10" t="s">
        <v>2</v>
      </c>
      <c r="F125" s="10" t="s">
        <v>105</v>
      </c>
      <c r="I125" s="12">
        <v>805</v>
      </c>
      <c r="J125" s="11"/>
      <c r="K125" s="11"/>
      <c r="L125" s="13" t="s">
        <v>490</v>
      </c>
    </row>
    <row r="126" spans="1:12" s="10" customFormat="1">
      <c r="A126" s="11">
        <f t="shared" si="2"/>
        <v>12</v>
      </c>
      <c r="B126" s="14" t="s">
        <v>111</v>
      </c>
      <c r="C126" s="11">
        <v>0</v>
      </c>
      <c r="D126" s="10" t="s">
        <v>2</v>
      </c>
      <c r="F126" s="10" t="s">
        <v>2</v>
      </c>
      <c r="I126" s="12">
        <v>402</v>
      </c>
      <c r="J126" s="11"/>
      <c r="K126" s="11"/>
      <c r="L126" s="13" t="s">
        <v>490</v>
      </c>
    </row>
    <row r="127" spans="1:12" s="10" customFormat="1">
      <c r="A127" s="11">
        <f t="shared" si="2"/>
        <v>13</v>
      </c>
      <c r="B127" s="14" t="s">
        <v>114</v>
      </c>
      <c r="C127" s="11">
        <v>0</v>
      </c>
      <c r="D127" s="10" t="s">
        <v>2</v>
      </c>
      <c r="F127" s="10" t="s">
        <v>2</v>
      </c>
      <c r="I127" s="12">
        <v>201</v>
      </c>
      <c r="J127" s="11"/>
      <c r="K127" s="11"/>
      <c r="L127" s="13" t="s">
        <v>490</v>
      </c>
    </row>
    <row r="128" spans="1:12" s="10" customFormat="1">
      <c r="A128" s="11">
        <f t="shared" si="2"/>
        <v>14</v>
      </c>
      <c r="B128" s="14" t="s">
        <v>116</v>
      </c>
      <c r="C128" s="11">
        <v>0</v>
      </c>
      <c r="D128" s="10" t="s">
        <v>2</v>
      </c>
      <c r="F128" s="10" t="s">
        <v>117</v>
      </c>
      <c r="I128" s="12">
        <v>201</v>
      </c>
      <c r="J128" s="11"/>
      <c r="K128" s="11"/>
      <c r="L128" s="13" t="s">
        <v>490</v>
      </c>
    </row>
    <row r="129" spans="1:17" s="10" customFormat="1">
      <c r="A129" s="11">
        <f t="shared" si="2"/>
        <v>15</v>
      </c>
      <c r="B129" s="14" t="s">
        <v>127</v>
      </c>
      <c r="C129" s="11">
        <v>0</v>
      </c>
      <c r="D129" s="10" t="s">
        <v>2</v>
      </c>
      <c r="F129" s="10" t="s">
        <v>2</v>
      </c>
      <c r="I129" s="12">
        <v>603</v>
      </c>
      <c r="J129" s="11"/>
      <c r="K129" s="11"/>
      <c r="L129" s="13" t="s">
        <v>490</v>
      </c>
    </row>
    <row r="130" spans="1:17" s="10" customFormat="1">
      <c r="A130" s="11">
        <f t="shared" si="2"/>
        <v>16</v>
      </c>
      <c r="B130" s="14" t="s">
        <v>129</v>
      </c>
      <c r="C130" s="11">
        <v>0</v>
      </c>
      <c r="D130" s="10" t="s">
        <v>2</v>
      </c>
      <c r="F130" s="10" t="s">
        <v>130</v>
      </c>
      <c r="I130" s="12">
        <v>603</v>
      </c>
      <c r="J130" s="11"/>
      <c r="K130" s="11"/>
      <c r="L130" s="13" t="s">
        <v>490</v>
      </c>
    </row>
    <row r="131" spans="1:17" s="10" customFormat="1">
      <c r="A131" s="11">
        <f t="shared" si="2"/>
        <v>17</v>
      </c>
      <c r="B131" s="14" t="s">
        <v>133</v>
      </c>
      <c r="C131" s="11">
        <v>0</v>
      </c>
      <c r="D131" s="10" t="s">
        <v>2</v>
      </c>
      <c r="F131" s="10" t="s">
        <v>134</v>
      </c>
      <c r="I131" s="12">
        <v>201</v>
      </c>
      <c r="J131" s="11"/>
      <c r="K131" s="11"/>
      <c r="L131" s="13" t="s">
        <v>490</v>
      </c>
    </row>
    <row r="132" spans="1:17" s="10" customFormat="1" ht="15">
      <c r="A132" s="11">
        <f t="shared" si="2"/>
        <v>18</v>
      </c>
      <c r="B132" s="14" t="s">
        <v>453</v>
      </c>
      <c r="C132" s="11">
        <v>0</v>
      </c>
      <c r="D132" s="15" t="s">
        <v>2</v>
      </c>
      <c r="F132" s="10" t="s">
        <v>457</v>
      </c>
      <c r="I132" s="12" t="s">
        <v>452</v>
      </c>
      <c r="J132" s="11"/>
      <c r="K132" s="11"/>
      <c r="L132" s="13" t="s">
        <v>490</v>
      </c>
    </row>
    <row r="133" spans="1:17">
      <c r="I133" s="22"/>
    </row>
    <row r="134" spans="1:17">
      <c r="A134"/>
      <c r="B134" s="52" t="s">
        <v>604</v>
      </c>
      <c r="C134" s="53">
        <v>18</v>
      </c>
      <c r="D134" s="53">
        <f>+C134+1+3+1+2+1+2</f>
        <v>28</v>
      </c>
      <c r="J134"/>
      <c r="L134"/>
    </row>
    <row r="135" spans="1:17">
      <c r="A135"/>
      <c r="B135"/>
      <c r="C135"/>
      <c r="J135"/>
      <c r="L135"/>
    </row>
    <row r="137" spans="1:17">
      <c r="C137" s="57"/>
      <c r="D137" s="57"/>
    </row>
    <row r="138" spans="1:17" ht="15" thickBot="1">
      <c r="B138" s="55"/>
      <c r="D138" s="6"/>
    </row>
    <row r="139" spans="1:17" ht="15" thickBot="1">
      <c r="B139" s="55"/>
      <c r="D139" s="6"/>
      <c r="O139" s="69"/>
      <c r="P139" s="70" t="s">
        <v>621</v>
      </c>
      <c r="Q139" s="73"/>
    </row>
    <row r="140" spans="1:17">
      <c r="B140" s="55"/>
      <c r="D140" s="6"/>
      <c r="O140" s="56"/>
      <c r="P140" s="57" t="s">
        <v>421</v>
      </c>
      <c r="Q140" s="74" t="s">
        <v>617</v>
      </c>
    </row>
    <row r="141" spans="1:17">
      <c r="B141" s="55"/>
      <c r="D141" s="6"/>
      <c r="O141" s="58" t="s">
        <v>289</v>
      </c>
      <c r="P141" s="59">
        <v>6</v>
      </c>
      <c r="Q141" s="7">
        <v>10</v>
      </c>
    </row>
    <row r="142" spans="1:17">
      <c r="B142" s="55"/>
      <c r="D142" s="6"/>
      <c r="O142" s="58" t="s">
        <v>300</v>
      </c>
      <c r="P142" s="60">
        <v>4</v>
      </c>
      <c r="Q142" s="7">
        <f>+P142+2</f>
        <v>6</v>
      </c>
    </row>
    <row r="143" spans="1:17">
      <c r="B143" s="55"/>
      <c r="D143" s="6"/>
      <c r="O143" s="58" t="s">
        <v>579</v>
      </c>
      <c r="P143" s="11">
        <v>1</v>
      </c>
      <c r="Q143" s="7">
        <v>1</v>
      </c>
    </row>
    <row r="144" spans="1:17">
      <c r="B144" s="55"/>
      <c r="C144" s="78"/>
      <c r="D144" s="78"/>
      <c r="O144" s="58" t="s">
        <v>592</v>
      </c>
      <c r="P144" s="61">
        <v>1</v>
      </c>
      <c r="Q144" s="7">
        <v>1</v>
      </c>
    </row>
    <row r="145" spans="2:17">
      <c r="B145"/>
      <c r="C145" s="65"/>
      <c r="D145" s="65"/>
      <c r="O145" s="58" t="s">
        <v>593</v>
      </c>
      <c r="P145" s="61">
        <v>1</v>
      </c>
      <c r="Q145" s="7">
        <v>1</v>
      </c>
    </row>
    <row r="146" spans="2:17">
      <c r="B146" s="55"/>
      <c r="C146" s="4"/>
      <c r="D146" s="4"/>
      <c r="O146" s="58" t="s">
        <v>486</v>
      </c>
      <c r="P146" s="62">
        <v>2</v>
      </c>
      <c r="Q146" s="7">
        <f>+P146+1</f>
        <v>3</v>
      </c>
    </row>
    <row r="147" spans="2:17">
      <c r="B147" s="79"/>
      <c r="D147" s="4"/>
      <c r="O147" s="58" t="s">
        <v>294</v>
      </c>
      <c r="P147" s="63">
        <v>1</v>
      </c>
      <c r="Q147" s="75">
        <v>1</v>
      </c>
    </row>
    <row r="148" spans="2:17">
      <c r="O148" s="64"/>
      <c r="P148" s="65">
        <f>SUM(P141:P147)</f>
        <v>16</v>
      </c>
      <c r="Q148" s="76">
        <f>SUM(Q141:Q147)</f>
        <v>23</v>
      </c>
    </row>
    <row r="149" spans="2:17">
      <c r="O149" s="58" t="s">
        <v>620</v>
      </c>
      <c r="P149" s="4">
        <v>3</v>
      </c>
      <c r="Q149" s="77">
        <v>5</v>
      </c>
    </row>
    <row r="150" spans="2:17" ht="15" thickBot="1">
      <c r="O150" s="66" t="s">
        <v>223</v>
      </c>
      <c r="P150" s="67">
        <f>111-P148-P149</f>
        <v>92</v>
      </c>
      <c r="Q150" s="77">
        <f>585-Q148-Q149</f>
        <v>557</v>
      </c>
    </row>
    <row r="151" spans="2:17" ht="15" thickBot="1">
      <c r="O151" s="71" t="s">
        <v>622</v>
      </c>
      <c r="P151" s="72">
        <f>+P148+P149+P150</f>
        <v>111</v>
      </c>
      <c r="Q151" s="68">
        <f>+Q148+Q149+Q150</f>
        <v>585</v>
      </c>
    </row>
  </sheetData>
  <mergeCells count="1">
    <mergeCell ref="B114:D114"/>
  </mergeCells>
  <hyperlinks>
    <hyperlink ref="N38" r:id="rId1" xr:uid="{31E3BF70-2E41-468C-8C2C-A5F4278EB4C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BOM-Parts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Ray</cp:lastModifiedBy>
  <cp:lastPrinted>2026-03-09T14:48:50Z</cp:lastPrinted>
  <dcterms:created xsi:type="dcterms:W3CDTF">2026-03-03T15:15:13Z</dcterms:created>
  <dcterms:modified xsi:type="dcterms:W3CDTF">2026-04-03T21:08:34Z</dcterms:modified>
</cp:coreProperties>
</file>